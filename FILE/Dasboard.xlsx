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FA9F2FC2-A274-4C6F-8FEA-78EDC2BE4F86}" xr6:coauthVersionLast="47" xr6:coauthVersionMax="47" xr10:uidLastSave="{00000000-0000-0000-0000-000000000000}"/>
  <bookViews>
    <workbookView xWindow="-120" yWindow="-120" windowWidth="29040" windowHeight="16440" xr2:uid="{00000000-000D-0000-FFFF-FFFF00000000}"/>
  </bookViews>
  <sheets>
    <sheet name="Dasboard" sheetId="2" r:id="rId1"/>
    <sheet name="Analisis Pivot" sheetId="4" r:id="rId2"/>
    <sheet name="DATA" sheetId="1" r:id="rId3"/>
  </sheets>
  <definedNames>
    <definedName name="_xlnm._FilterDatabase" localSheetId="2" hidden="1">DATA!$A$1:$Q$1001</definedName>
    <definedName name="NativeTimeline_Date">#N/A</definedName>
    <definedName name="Slicer_City">#N/A</definedName>
    <definedName name="Slicer_Customer_type">#N/A</definedName>
    <definedName name="Slicer_Payment">#N/A</definedName>
    <definedName name="Slicer_Product_line">#N/A</definedName>
  </definedNames>
  <calcPr calcId="18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uri="GoogleSheetsCustomDataVersion2">
      <go:sheetsCustomData xmlns:go="http://customooxmlschemas.google.com/" r:id="rId10" roundtripDataChecksum="h8psH66OgMjgO2gG7yOsqAfP3vxm4v/SnlBtAwzNMa4="/>
    </ext>
  </extLst>
</workbook>
</file>

<file path=xl/calcChain.xml><?xml version="1.0" encoding="utf-8"?>
<calcChain xmlns="http://schemas.openxmlformats.org/spreadsheetml/2006/main">
  <c r="L6" i="2" l="1"/>
  <c r="N6" i="2"/>
  <c r="P6" i="2"/>
  <c r="J6" i="2"/>
</calcChain>
</file>

<file path=xl/sharedStrings.xml><?xml version="1.0" encoding="utf-8"?>
<sst xmlns="http://schemas.openxmlformats.org/spreadsheetml/2006/main" count="7060" uniqueCount="1060">
  <si>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</si>
  <si>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</si>
  <si>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</si>
  <si>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</si>
  <si>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</si>
  <si>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</si>
  <si>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</si>
  <si>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</si>
  <si>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</si>
  <si>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</si>
  <si>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</si>
  <si>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</si>
  <si>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</si>
  <si>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</si>
  <si>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</si>
  <si>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</si>
  <si>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</si>
  <si>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</si>
  <si>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</si>
  <si>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</si>
  <si>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</si>
  <si>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</si>
  <si>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</si>
  <si>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</si>
  <si>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</si>
  <si>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</si>
  <si>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</si>
  <si>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</si>
  <si>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</si>
  <si>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</si>
  <si>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</si>
  <si>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</si>
  <si>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</si>
  <si>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</si>
  <si>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</si>
  <si>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</si>
  <si>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</si>
  <si>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</si>
  <si>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</si>
  <si>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</si>
  <si>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</si>
  <si>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</si>
  <si>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</si>
  <si>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</si>
  <si>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</si>
  <si>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</si>
  <si>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</si>
  <si>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</si>
  <si>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</si>
  <si>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</si>
  <si>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</si>
  <si>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</si>
  <si>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</si>
  <si>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</si>
  <si>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</si>
  <si>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</si>
  <si>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</si>
  <si>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</si>
  <si>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</si>
  <si>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</si>
  <si>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</si>
  <si>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</si>
  <si>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</si>
  <si>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</si>
  <si>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</si>
  <si>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</si>
  <si>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</si>
  <si>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</si>
  <si>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</si>
  <si>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</si>
  <si>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</si>
  <si>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</si>
  <si>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</si>
  <si>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</si>
  <si>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</si>
  <si>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</si>
  <si>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</si>
  <si>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</si>
  <si>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</si>
  <si>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</si>
  <si>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</si>
  <si>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</si>
  <si>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</si>
  <si>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</si>
  <si>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</si>
  <si>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</si>
  <si>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</si>
  <si>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</si>
  <si>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</si>
  <si>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</si>
  <si>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</si>
  <si>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</si>
  <si>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</si>
  <si>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</si>
  <si>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</si>
  <si>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</si>
  <si>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</si>
  <si>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</si>
  <si>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</si>
  <si>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</si>
  <si>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</si>
  <si>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</si>
  <si>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</si>
  <si>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</si>
  <si>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</si>
  <si>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</si>
  <si>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</si>
  <si>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</si>
  <si>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</si>
  <si>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</si>
  <si>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</si>
  <si>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</si>
  <si>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</si>
  <si>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</si>
  <si>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</si>
  <si>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</si>
  <si>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</si>
  <si>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</si>
  <si>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</si>
  <si>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</si>
  <si>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</si>
  <si>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</si>
  <si>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</si>
  <si>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</si>
  <si>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</si>
  <si>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</si>
  <si>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</si>
  <si>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</si>
  <si>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</si>
  <si>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</si>
  <si>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</si>
  <si>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</si>
  <si>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</si>
  <si>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</si>
  <si>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</si>
  <si>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</si>
  <si>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</si>
  <si>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</si>
  <si>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</si>
  <si>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</si>
  <si>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</si>
  <si>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</si>
  <si>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</si>
  <si>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</si>
  <si>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</si>
  <si>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</si>
  <si>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</si>
  <si>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</si>
  <si>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</si>
  <si>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</si>
  <si>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</si>
  <si>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</si>
  <si>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</si>
  <si>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</si>
  <si>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</si>
  <si>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</si>
  <si>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</si>
  <si>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</si>
  <si>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</si>
  <si>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</si>
  <si>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</si>
  <si>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</si>
  <si>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</si>
  <si>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</si>
  <si>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</si>
  <si>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</si>
  <si>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</si>
  <si>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</si>
  <si>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</si>
  <si>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</si>
  <si>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</si>
  <si>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</si>
  <si>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</si>
  <si>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</si>
  <si>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</si>
  <si>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</si>
  <si>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</si>
  <si>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</si>
  <si>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</si>
  <si>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</si>
  <si>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</si>
  <si>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</si>
  <si>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</si>
  <si>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</si>
  <si>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</si>
  <si>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</si>
  <si>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</si>
  <si>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</si>
  <si>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</si>
  <si>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</si>
  <si>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</si>
  <si>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</si>
  <si>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</si>
  <si>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</si>
  <si>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</si>
  <si>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</si>
  <si>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</si>
  <si>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</si>
  <si>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</si>
  <si>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</si>
  <si>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</si>
  <si>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</si>
  <si>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</si>
  <si>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</si>
  <si>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</si>
  <si>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</si>
  <si>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</si>
  <si>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</si>
  <si>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</si>
  <si>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</si>
  <si>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</si>
  <si>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</si>
  <si>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</si>
  <si>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</si>
  <si>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</si>
  <si>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</si>
  <si>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</si>
  <si>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</si>
  <si>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</si>
  <si>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</si>
  <si>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</si>
  <si>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</si>
  <si>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</si>
  <si>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</si>
  <si>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</si>
  <si>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</si>
  <si>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</si>
  <si>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</si>
  <si>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</si>
  <si>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</si>
  <si>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</si>
  <si>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</si>
  <si>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</si>
  <si>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</si>
  <si>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</si>
  <si>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</si>
  <si>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</si>
  <si>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</si>
  <si>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</si>
  <si>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</si>
  <si>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</si>
  <si>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</si>
  <si>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</si>
  <si>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</si>
  <si>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</si>
  <si>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</si>
  <si>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</si>
  <si>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</si>
  <si>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</si>
  <si>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</si>
  <si>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</si>
  <si>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</si>
  <si>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</si>
  <si>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</si>
  <si>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</si>
  <si>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</si>
  <si>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</si>
  <si>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</si>
  <si>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</si>
  <si>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</si>
  <si>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</si>
  <si>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</si>
  <si>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</si>
  <si>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</si>
  <si>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</si>
  <si>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</si>
  <si>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</si>
  <si>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</si>
  <si>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</si>
  <si>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</si>
  <si>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</si>
  <si>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</si>
  <si>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</si>
  <si>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</si>
  <si>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</si>
  <si>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</si>
  <si>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</si>
  <si>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</si>
  <si>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</si>
  <si>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</si>
  <si>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</si>
  <si>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</si>
  <si>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</si>
  <si>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</si>
  <si>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</si>
  <si>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</si>
  <si>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</si>
  <si>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</si>
  <si>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</si>
  <si>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</si>
  <si>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</si>
  <si>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</si>
  <si>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</si>
  <si>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</si>
  <si>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</si>
  <si>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</si>
  <si>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</si>
  <si>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</si>
  <si>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</si>
  <si>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</si>
  <si>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</si>
  <si>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</si>
  <si>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</si>
  <si>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</si>
  <si>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</si>
  <si>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</si>
  <si>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</si>
  <si>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</si>
  <si>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</si>
  <si>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</si>
  <si>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</si>
  <si>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</si>
  <si>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</si>
  <si>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</si>
  <si>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</si>
  <si>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</si>
  <si>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</si>
  <si>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</si>
  <si>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</si>
  <si>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</si>
  <si>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</si>
  <si>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</si>
  <si>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</si>
  <si>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</si>
  <si>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</si>
  <si>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</si>
  <si>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</si>
  <si>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</si>
  <si>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</si>
  <si>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</si>
  <si>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</si>
  <si>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</si>
  <si>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</si>
  <si>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</si>
  <si>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</si>
  <si>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</si>
  <si>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</si>
  <si>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</si>
  <si>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</si>
  <si>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</si>
  <si>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</si>
  <si>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</si>
  <si>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</si>
  <si>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</si>
  <si>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</si>
  <si>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</si>
  <si>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</si>
  <si>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</si>
  <si>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</si>
  <si>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</si>
  <si>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</si>
  <si>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</si>
  <si>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</si>
  <si>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</si>
  <si>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</si>
  <si>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</si>
  <si>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</si>
  <si>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</si>
  <si>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</si>
  <si>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</si>
  <si>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</si>
  <si>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</si>
  <si>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</si>
  <si>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</si>
  <si>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</si>
  <si>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</si>
  <si>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</si>
  <si>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</si>
  <si>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</si>
  <si>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</si>
  <si>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</si>
  <si>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</si>
  <si>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</si>
  <si>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</si>
  <si>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</si>
  <si>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</si>
  <si>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</si>
  <si>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</si>
  <si>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</si>
  <si>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</si>
  <si>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</si>
  <si>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</si>
  <si>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</si>
  <si>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</si>
  <si>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</si>
  <si>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</si>
  <si>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</si>
  <si>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</si>
  <si>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</si>
  <si>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</si>
  <si>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</si>
  <si>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</si>
  <si>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</si>
  <si>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</si>
  <si>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</si>
  <si>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</si>
  <si>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</si>
  <si>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</si>
  <si>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</si>
  <si>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</si>
  <si>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</si>
  <si>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</si>
  <si>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</si>
  <si>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</si>
  <si>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</si>
  <si>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</si>
  <si>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</si>
  <si>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</si>
  <si>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</si>
  <si>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</si>
  <si>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</si>
  <si>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</si>
  <si>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</si>
  <si>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</si>
  <si>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</si>
  <si>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</si>
  <si>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</si>
  <si>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</si>
  <si>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</si>
  <si>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</si>
  <si>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</si>
  <si>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</si>
  <si>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</si>
  <si>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</si>
  <si>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</si>
  <si>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</si>
  <si>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</si>
  <si>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</si>
  <si>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</si>
  <si>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</si>
  <si>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</si>
  <si>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</si>
  <si>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</si>
  <si>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</si>
  <si>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</si>
  <si>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</si>
  <si>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</si>
  <si>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</si>
  <si>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</si>
  <si>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</si>
  <si>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</si>
  <si>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</si>
  <si>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</si>
  <si>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</si>
  <si>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</si>
  <si>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</si>
  <si>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</si>
  <si>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</si>
  <si>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</si>
  <si>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</si>
  <si>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</si>
  <si>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</si>
  <si>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</si>
  <si>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</si>
  <si>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</si>
  <si>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</si>
  <si>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</si>
  <si>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</si>
  <si>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</si>
  <si>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</si>
  <si>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</si>
  <si>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</si>
  <si>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</si>
  <si>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</si>
  <si>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</si>
  <si>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</si>
  <si>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</si>
  <si>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</si>
  <si>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</si>
  <si>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</si>
  <si>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</si>
  <si>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</si>
  <si>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</si>
  <si>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</si>
  <si>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</si>
  <si>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</si>
  <si>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</si>
  <si>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</si>
  <si>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</si>
  <si>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</si>
  <si>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</si>
  <si>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</si>
  <si>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</si>
  <si>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</si>
  <si>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</si>
  <si>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</si>
  <si>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</si>
  <si>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</si>
  <si>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</si>
  <si>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</si>
  <si>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</si>
  <si>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</si>
  <si>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</si>
  <si>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</si>
  <si>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</si>
  <si>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</si>
  <si>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</si>
  <si>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</si>
  <si>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</si>
  <si>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</si>
  <si>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</si>
  <si>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</si>
  <si>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</si>
  <si>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</si>
  <si>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</si>
  <si>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</si>
  <si>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</si>
  <si>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</si>
  <si>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</si>
  <si>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</si>
  <si>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</si>
  <si>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</si>
  <si>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</si>
  <si>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</si>
  <si>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</si>
  <si>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</si>
  <si>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</si>
  <si>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</si>
  <si>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</si>
  <si>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</si>
  <si>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</si>
  <si>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</si>
  <si>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</si>
  <si>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</si>
  <si>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</si>
  <si>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</si>
  <si>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</si>
  <si>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</si>
  <si>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</si>
  <si>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</si>
  <si>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</si>
  <si>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</si>
  <si>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</si>
  <si>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</si>
  <si>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</si>
  <si>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</si>
  <si>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</si>
  <si>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</si>
  <si>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</si>
  <si>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</si>
  <si>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</si>
  <si>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</si>
  <si>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</si>
  <si>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</si>
  <si>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</si>
  <si>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</si>
  <si>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</si>
  <si>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</si>
  <si>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</si>
  <si>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</si>
  <si>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</si>
  <si>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</si>
  <si>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</si>
  <si>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</si>
  <si>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</si>
  <si>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</si>
  <si>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</si>
  <si>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</si>
  <si>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</si>
  <si>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</si>
  <si>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</si>
  <si>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</si>
  <si>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</si>
  <si>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</si>
  <si>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</si>
  <si>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</si>
  <si>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</si>
  <si>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</si>
  <si>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</si>
  <si>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</si>
  <si>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</si>
  <si>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</si>
  <si>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</si>
  <si>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</si>
  <si>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</si>
  <si>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</si>
  <si>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</si>
  <si>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</si>
  <si>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</si>
  <si>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</si>
  <si>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</si>
  <si>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</si>
  <si>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</si>
  <si>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</si>
  <si>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</si>
  <si>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</si>
  <si>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</si>
  <si>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</si>
  <si>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</si>
  <si>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</si>
  <si>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</si>
  <si>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</si>
  <si>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</si>
  <si>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</si>
  <si>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</si>
  <si>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</si>
  <si>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</si>
  <si>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</si>
  <si>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</si>
  <si>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</si>
  <si>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</si>
  <si>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</si>
  <si>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</si>
  <si>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</si>
  <si>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</si>
  <si>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</si>
  <si>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</si>
  <si>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</si>
  <si>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</si>
  <si>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</si>
  <si>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</si>
  <si>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</si>
  <si>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</si>
  <si>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</si>
  <si>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</si>
  <si>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</si>
  <si>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</si>
  <si>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</si>
  <si>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</si>
  <si>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</si>
  <si>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</si>
  <si>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</si>
  <si>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</si>
  <si>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</si>
  <si>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</si>
  <si>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</si>
  <si>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</si>
  <si>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</si>
  <si>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</si>
  <si>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</si>
  <si>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</si>
  <si>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</si>
  <si>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</si>
  <si>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</si>
  <si>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</si>
  <si>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</si>
  <si>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</si>
  <si>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</si>
  <si>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</si>
  <si>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</si>
  <si>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</si>
  <si>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</si>
  <si>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</si>
  <si>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</si>
  <si>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</si>
  <si>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</si>
  <si>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</si>
  <si>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</si>
  <si>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</si>
  <si>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</si>
  <si>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</si>
  <si>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</si>
  <si>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</si>
  <si>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</si>
  <si>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</si>
  <si>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</si>
  <si>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</si>
  <si>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</si>
  <si>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</si>
  <si>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</si>
  <si>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</si>
  <si>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</si>
  <si>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</si>
  <si>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</si>
  <si>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</si>
  <si>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</si>
  <si>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</si>
  <si>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</si>
  <si>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</si>
  <si>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</si>
  <si>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</si>
  <si>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</si>
  <si>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</si>
  <si>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</si>
  <si>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</si>
  <si>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</si>
  <si>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</si>
  <si>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</si>
  <si>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</si>
  <si>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</si>
  <si>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</si>
  <si>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</si>
  <si>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</si>
  <si>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</si>
  <si>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</si>
  <si>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</si>
  <si>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</si>
  <si>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</si>
  <si>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</si>
  <si>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</si>
  <si>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</si>
  <si>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</si>
  <si>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</si>
  <si>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</si>
  <si>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</si>
  <si>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</si>
  <si>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</si>
  <si>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</si>
  <si>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</si>
  <si>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</si>
  <si>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</si>
  <si>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</si>
  <si>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</si>
  <si>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</si>
  <si>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</si>
  <si>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</si>
  <si>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</si>
  <si>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</si>
  <si>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</si>
  <si>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</si>
  <si>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</si>
  <si>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</si>
  <si>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</si>
  <si>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</si>
  <si>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</si>
  <si>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</si>
  <si>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</si>
  <si>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</si>
  <si>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</si>
  <si>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</si>
  <si>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</si>
  <si>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</si>
  <si>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</si>
  <si>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</si>
  <si>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</si>
  <si>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</si>
  <si>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</si>
  <si>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</si>
  <si>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</si>
  <si>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</si>
  <si>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</si>
  <si>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</si>
  <si>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</si>
  <si>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</si>
  <si>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</si>
  <si>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</si>
  <si>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</si>
  <si>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</si>
  <si>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</si>
  <si>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</si>
  <si>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</si>
  <si>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</si>
  <si>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</si>
  <si>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</si>
  <si>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</si>
  <si>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</si>
  <si>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</si>
  <si>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</si>
  <si>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</si>
  <si>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</si>
  <si>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</si>
  <si>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</si>
  <si>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</si>
  <si>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</si>
  <si>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</si>
  <si>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</si>
  <si>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</si>
  <si>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</si>
  <si>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</si>
  <si>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</si>
  <si>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</si>
  <si>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</si>
  <si>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</si>
  <si>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</si>
  <si>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</si>
  <si>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</si>
  <si>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</si>
  <si>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</si>
  <si>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</si>
  <si>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</si>
  <si>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</si>
  <si>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</si>
  <si>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</si>
  <si>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</si>
  <si>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</si>
  <si>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</si>
  <si>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</si>
  <si>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</si>
  <si>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</si>
  <si>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</si>
  <si>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</si>
  <si>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</si>
  <si>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</si>
  <si>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</si>
  <si>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</si>
  <si>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</si>
  <si>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</si>
  <si>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</si>
  <si>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</si>
  <si>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</si>
  <si>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</si>
  <si>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</si>
  <si>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</si>
  <si>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</si>
  <si>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</si>
  <si>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</si>
  <si>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</si>
  <si>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</si>
  <si>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</si>
  <si>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</si>
  <si>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</si>
  <si>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</si>
  <si>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</si>
  <si>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</si>
  <si>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</si>
  <si>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</si>
  <si>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</si>
  <si>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</si>
  <si>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</si>
  <si>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</si>
  <si>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</si>
  <si>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</si>
  <si>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</si>
  <si>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</si>
  <si>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</si>
  <si>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</si>
  <si>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</si>
  <si>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</si>
  <si>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</si>
  <si>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</si>
  <si>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</si>
  <si>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</si>
  <si>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</si>
  <si>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</si>
  <si>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</si>
  <si>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</si>
  <si>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</si>
  <si>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</si>
  <si>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</si>
  <si>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</si>
  <si>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</si>
  <si>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</si>
  <si>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</si>
  <si>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</si>
  <si>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</si>
  <si>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</si>
  <si>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</si>
  <si>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</si>
  <si>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</si>
  <si>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</si>
  <si>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</si>
  <si>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</si>
  <si>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</si>
  <si>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</si>
  <si>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</si>
  <si>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</si>
  <si>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</si>
  <si>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</si>
  <si>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</si>
  <si>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</si>
  <si>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</si>
  <si>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</si>
  <si>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</si>
  <si>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</si>
  <si>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</si>
  <si>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</si>
  <si>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</si>
  <si>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</si>
  <si>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</si>
  <si>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</si>
  <si>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</si>
  <si>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</si>
  <si>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</si>
  <si>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</si>
  <si>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</si>
  <si>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</si>
  <si>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</si>
  <si>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</si>
  <si>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</si>
  <si>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</si>
  <si>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</si>
  <si>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</si>
  <si>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</si>
  <si>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</si>
  <si>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</si>
  <si>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</si>
  <si>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</si>
  <si>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</si>
  <si>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</si>
  <si>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</si>
  <si>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</si>
  <si>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</si>
  <si>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</si>
  <si>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</si>
  <si>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</si>
  <si>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</si>
  <si>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</si>
  <si>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</si>
  <si>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</si>
  <si>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</si>
  <si>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</si>
  <si>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</si>
  <si>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</si>
  <si>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</si>
  <si>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</si>
  <si>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</si>
  <si>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</si>
  <si>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</si>
  <si>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</si>
  <si>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</si>
  <si>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</si>
  <si>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</si>
  <si>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</si>
  <si>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</si>
  <si>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</si>
  <si>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</si>
  <si>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</si>
  <si>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</si>
  <si>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</si>
  <si>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</si>
  <si>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</si>
  <si>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</si>
  <si>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</si>
  <si>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</si>
  <si>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</si>
  <si>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</si>
  <si>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</si>
  <si>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</si>
  <si>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</si>
  <si>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</si>
  <si>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</si>
  <si>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</si>
  <si>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</si>
  <si>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</si>
  <si>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</si>
  <si>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</si>
  <si>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</si>
  <si>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</si>
  <si>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</si>
  <si>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</si>
  <si>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</si>
  <si>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</si>
  <si>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</si>
  <si>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</si>
  <si>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</si>
  <si>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</si>
  <si>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</si>
  <si>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</si>
  <si>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</si>
  <si>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</si>
  <si>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</si>
  <si>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</si>
  <si>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</si>
  <si>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</si>
  <si>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</si>
  <si>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</si>
  <si>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</si>
  <si>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</si>
  <si>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</si>
  <si>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</si>
  <si>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</si>
  <si>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</si>
  <si>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</si>
  <si>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</si>
  <si>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</si>
  <si>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</si>
  <si>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</si>
  <si>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</si>
  <si>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</si>
  <si>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</si>
  <si>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</si>
  <si>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</si>
  <si>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</si>
  <si>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</si>
  <si>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</si>
  <si>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</si>
  <si>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</si>
  <si>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</si>
  <si>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</si>
  <si>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</si>
  <si>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</si>
  <si>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</si>
  <si>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</si>
  <si>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</si>
  <si>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</si>
  <si>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</si>
  <si>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</si>
  <si>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</si>
  <si>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</si>
  <si>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</si>
  <si>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</si>
  <si>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</si>
  <si>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</si>
  <si>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</si>
  <si>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</si>
  <si>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</si>
  <si>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</si>
  <si>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</si>
  <si>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</si>
  <si>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</si>
  <si>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</si>
  <si>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</si>
  <si>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</si>
  <si>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</si>
  <si>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</si>
  <si>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</si>
  <si>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</si>
  <si>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</si>
  <si>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</si>
  <si>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</si>
  <si>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</si>
  <si>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</si>
  <si>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</si>
  <si>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</si>
  <si>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</si>
  <si>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</si>
  <si>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</si>
  <si>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</si>
  <si>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</si>
  <si>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</si>
  <si>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</si>
  <si>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</si>
  <si>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</si>
  <si>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</si>
  <si>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</si>
  <si>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</si>
  <si>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</si>
  <si>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</si>
  <si>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</si>
  <si>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</si>
  <si>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</si>
  <si>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</si>
  <si>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</si>
  <si>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</si>
  <si>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</si>
  <si>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</si>
  <si>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</si>
  <si>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</si>
  <si>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</si>
  <si>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</si>
  <si>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</si>
  <si>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</si>
  <si>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</si>
  <si>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</si>
  <si>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</si>
  <si>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</si>
  <si>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DASBOARD</t>
  </si>
  <si>
    <t>Total Penjualan</t>
  </si>
  <si>
    <t>Jumlah Produk Terjual</t>
  </si>
  <si>
    <t>Total penjualan sudah di kurangi Pajak</t>
  </si>
  <si>
    <t>Rata - rata Rating</t>
  </si>
  <si>
    <t>Sum of Total</t>
  </si>
  <si>
    <t>Sum of Quantity</t>
  </si>
  <si>
    <t>Sum of cogs</t>
  </si>
  <si>
    <t>Average of Rating</t>
  </si>
  <si>
    <t>Row Labels</t>
  </si>
  <si>
    <t>Grand Total</t>
  </si>
  <si>
    <t>Jan</t>
  </si>
  <si>
    <t>Feb</t>
  </si>
  <si>
    <t>Mar</t>
  </si>
  <si>
    <t>Apr</t>
  </si>
  <si>
    <t>May</t>
  </si>
  <si>
    <t>Jun</t>
  </si>
  <si>
    <t>Jul</t>
  </si>
  <si>
    <t>Aug</t>
  </si>
  <si>
    <t>Sep</t>
  </si>
  <si>
    <t>Oct</t>
  </si>
  <si>
    <t>Nov</t>
  </si>
  <si>
    <t>Dec</t>
  </si>
  <si>
    <t>Count of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</si>
</sst>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quot;$&quot;#,##0.00"/>
    <numFmt numFmtId="167" formatCode="[$$-1009]#,##0"/>
    <numFmt numFmtId="169" formatCode="[$$-1009]#,##0.00"/>
  </numFmts>
  <fonts count="9" x14ac:knownFonts="1">
    <font>
      <sz val="11"/>
      <color theme="1"/>
      <name val="Calibri"/>
      <scheme val="minor"/>
    </font>
    <font>
      <sz val="11"/>
      <color theme="1"/>
      <name val="Calibri"/>
      <scheme val="minor"/>
    </font>
    <font>
      <sz val="11"/>
      <color theme="1"/>
      <name val="Calibri"/>
    </font>
    <font>
      <sz val="11"/>
      <color rgb="FF9C0006"/>
      <name val="Calibri"/>
      <family val="2"/>
      <scheme val="minor"/>
    </font>
    <font>
      <b/>
      <sz val="11"/>
      <color theme="1"/>
      <name val="Calibri"/>
      <family val="2"/>
      <scheme val="minor"/>
    </font>
    <font>
      <sz val="36"/>
      <color theme="1"/>
      <name val="Algerian"/>
      <family val="5"/>
    </font>
    <font>
      <sz val="14"/>
      <color theme="1"/>
      <name val="Calibri"/>
      <family val="2"/>
      <scheme val="minor"/>
    </font>
    <font>
      <sz val="18"/>
      <color theme="1"/>
      <name val="Calibri"/>
      <family val="2"/>
      <scheme val="minor"/>
    </font>
    <font>
      <sz val="22"/>
      <color theme="1"/>
      <name val="Calibri"/>
      <family val="2"/>
      <scheme val="minor"/>
    </font>
  </fonts>
  <fills count="10">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rgb="FFFFC7CE"/>
      </patternFill>
    </fill>
    <fill>
      <patternFill patternType="solid">
        <fgColor theme="0"/>
        <bgColor indexed="64"/>
      </patternFill>
    </fill>
    <fill>
      <patternFill patternType="solid">
        <fgColor theme="7" tint="0.39997558519241921"/>
        <bgColor indexed="64"/>
      </patternFill>
    </fill>
    <fill>
      <patternFill patternType="solid">
        <fgColor theme="2" tint="-4.9989318521683403E-2"/>
        <bgColor indexed="64"/>
      </patternFill>
    </fill>
    <fill>
      <patternFill patternType="solid">
        <fgColor theme="5" tint="0.39997558519241921"/>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0" fontId="3" fillId="5" borderId="0" applyNumberFormat="0" applyBorder="0" applyAlignment="0" applyProtection="0"/>
  </cellStyleXfs>
  <cellXfs count="29">
    <xf numFmtId="0" fontId="0" fillId="0" borderId="0" xfId="0"/>
    <xf numFmtId="0" fontId="1" fillId="2" borderId="0" xfId="0" applyFont="1" applyFill="1"/>
    <xf numFmtId="0" fontId="1" fillId="3" borderId="0" xfId="0" applyFont="1" applyFill="1"/>
    <xf numFmtId="14" fontId="2" fillId="3" borderId="0" xfId="0" applyNumberFormat="1" applyFont="1" applyFill="1"/>
    <xf numFmtId="21" fontId="2" fillId="3" borderId="0" xfId="0" applyNumberFormat="1" applyFont="1" applyFill="1"/>
    <xf numFmtId="0" fontId="1" fillId="4" borderId="0" xfId="0" applyFont="1" applyFill="1"/>
    <xf numFmtId="14" fontId="2" fillId="4" borderId="0" xfId="0" applyNumberFormat="1" applyFont="1" applyFill="1"/>
    <xf numFmtId="21" fontId="2" fillId="4" borderId="0" xfId="0" applyNumberFormat="1" applyFont="1" applyFill="1"/>
    <xf numFmtId="0" fontId="0" fillId="6" borderId="0" xfId="0" applyFill="1"/>
    <xf numFmtId="0" fontId="0" fillId="7" borderId="0" xfId="0" applyFill="1"/>
    <xf numFmtId="0" fontId="0" fillId="6" borderId="0" xfId="0" applyFill="1" applyBorder="1"/>
    <xf numFmtId="0" fontId="0" fillId="6" borderId="0" xfId="0" applyFill="1" applyAlignment="1">
      <alignment vertical="center"/>
    </xf>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5" fillId="8" borderId="0" xfId="0" applyFont="1" applyFill="1" applyBorder="1" applyAlignment="1">
      <alignment horizontal="center" vertical="center" wrapText="1"/>
    </xf>
    <xf numFmtId="0" fontId="0" fillId="8" borderId="0" xfId="0" applyFill="1" applyBorder="1" applyAlignment="1">
      <alignment horizontal="center" vertical="center" wrapText="1"/>
    </xf>
    <xf numFmtId="0" fontId="0" fillId="8" borderId="0" xfId="0" applyFill="1" applyBorder="1" applyAlignment="1">
      <alignment horizontal="center"/>
    </xf>
    <xf numFmtId="0" fontId="0" fillId="8" borderId="0" xfId="0" applyFill="1" applyBorder="1"/>
    <xf numFmtId="0" fontId="0" fillId="8" borderId="0" xfId="0" applyFill="1"/>
    <xf numFmtId="167" fontId="7" fillId="8" borderId="2" xfId="0" applyNumberFormat="1" applyFont="1" applyFill="1" applyBorder="1" applyAlignment="1">
      <alignment horizontal="center"/>
    </xf>
    <xf numFmtId="0" fontId="8" fillId="8" borderId="2" xfId="0" applyFont="1" applyFill="1" applyBorder="1" applyAlignment="1">
      <alignment horizontal="center" vertical="center"/>
    </xf>
    <xf numFmtId="169" fontId="6" fillId="8" borderId="2" xfId="0" applyNumberFormat="1" applyFont="1" applyFill="1" applyBorder="1" applyAlignment="1">
      <alignment horizontal="center" vertical="center"/>
    </xf>
    <xf numFmtId="0" fontId="0" fillId="8" borderId="2" xfId="0" applyFill="1" applyBorder="1" applyAlignment="1">
      <alignment horizontal="center" vertical="center"/>
    </xf>
    <xf numFmtId="0" fontId="4" fillId="9" borderId="1" xfId="1" applyFont="1" applyFill="1" applyBorder="1" applyAlignment="1">
      <alignment horizontal="center" vertical="center" wrapText="1"/>
    </xf>
    <xf numFmtId="0" fontId="4" fillId="9" borderId="1" xfId="0" applyFont="1" applyFill="1" applyBorder="1" applyAlignment="1">
      <alignment vertical="center" wrapText="1"/>
    </xf>
    <xf numFmtId="0" fontId="4" fillId="9" borderId="1" xfId="0" applyFont="1" applyFill="1" applyBorder="1" applyAlignment="1">
      <alignment horizontal="center" vertical="center" wrapText="1"/>
    </xf>
  </cellXfs>
  <cellStyles count="2">
    <cellStyle name="Bad" xfId="1" builtinId="27"/>
    <cellStyle name="Normal" xfId="0" builtinId="0"/>
  </cellStyles>
  <dxfs count="22">
    <dxf>
      <numFmt numFmtId="169" formatCode="[$$-1009]#,##0.00"/>
    </dxf>
    <dxf>
      <numFmt numFmtId="169" formatCode="[$$-1009]#,##0.00"/>
    </dxf>
    <dxf>
      <numFmt numFmtId="166" formatCode="&quot;$&quot;#,##0.00"/>
    </dxf>
    <dxf>
      <font>
        <b val="0"/>
        <i val="0"/>
        <strike val="0"/>
        <condense val="0"/>
        <extend val="0"/>
        <outline val="0"/>
        <shadow val="0"/>
        <u val="none"/>
        <vertAlign val="baseline"/>
        <sz val="11"/>
        <color theme="1"/>
        <name val="Calibri"/>
        <scheme val="minor"/>
      </font>
      <fill>
        <patternFill patternType="solid">
          <fgColor theme="4"/>
          <bgColor theme="4"/>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none"/>
      </font>
      <numFmt numFmtId="26" formatCode="h:mm:ss"/>
      <fill>
        <patternFill patternType="solid">
          <fgColor rgb="FFB4C6E7"/>
          <bgColor rgb="FFB4C6E7"/>
        </patternFill>
      </fill>
    </dxf>
    <dxf>
      <font>
        <b val="0"/>
        <i val="0"/>
        <strike val="0"/>
        <condense val="0"/>
        <extend val="0"/>
        <outline val="0"/>
        <shadow val="0"/>
        <u val="none"/>
        <vertAlign val="baseline"/>
        <sz val="11"/>
        <color theme="1"/>
        <name val="Calibri"/>
        <scheme val="none"/>
      </font>
      <numFmt numFmtId="19" formatCode="m/d/yyyy"/>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Sales.xlsx]Analisis Pivot!PivotTable5</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2270341207349"/>
          <c:y val="0.18662037037037038"/>
          <c:w val="0.66287685914260719"/>
          <c:h val="0.71523950131233593"/>
        </c:manualLayout>
      </c:layout>
      <c:lineChart>
        <c:grouping val="standard"/>
        <c:varyColors val="0"/>
        <c:ser>
          <c:idx val="0"/>
          <c:order val="0"/>
          <c:tx>
            <c:strRef>
              <c:f>'Analisis Pivot'!$B$19</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'Analisis 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 Pivot'!$B$20:$B$32</c:f>
              <c:numCache>
                <c:formatCode>[$$-1009]#,##0.00</c:formatCode>
                <c:ptCount val="12"/>
                <c:pt idx="0">
                  <c:v>29890.270000000008</c:v>
                </c:pt>
                <c:pt idx="1">
                  <c:v>21894.81</c:v>
                </c:pt>
                <c:pt idx="2">
                  <c:v>24661.159999999996</c:v>
                </c:pt>
                <c:pt idx="3">
                  <c:v>3342.2399999999993</c:v>
                </c:pt>
                <c:pt idx="4">
                  <c:v>2446.1799999999998</c:v>
                </c:pt>
                <c:pt idx="5">
                  <c:v>2758.16</c:v>
                </c:pt>
                <c:pt idx="6">
                  <c:v>3593.2899999999995</c:v>
                </c:pt>
                <c:pt idx="7">
                  <c:v>3683.08</c:v>
                </c:pt>
                <c:pt idx="8">
                  <c:v>6312.5099999999984</c:v>
                </c:pt>
                <c:pt idx="9">
                  <c:v>3155.87</c:v>
                </c:pt>
                <c:pt idx="10">
                  <c:v>3321.33</c:v>
                </c:pt>
                <c:pt idx="11">
                  <c:v>1804.5</c:v>
                </c:pt>
              </c:numCache>
            </c:numRef>
          </c:val>
          <c:smooth val="0"/>
          <c:extLst>
            <c:ext xmlns:c16="http://schemas.microsoft.com/office/drawing/2014/chart" uri="{C3380CC4-5D6E-409C-BE32-E72D297353CC}">
              <c16:uniqueId val="{00000000-A0C1-4D66-A242-5FBBEC67B15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77327504"/>
        <c:axId val="277350544"/>
      </c:lineChart>
      <c:catAx>
        <c:axId val="2773275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77350544"/>
        <c:crosses val="autoZero"/>
        <c:auto val="1"/>
        <c:lblAlgn val="ctr"/>
        <c:lblOffset val="100"/>
        <c:noMultiLvlLbl val="0"/>
      </c:catAx>
      <c:valAx>
        <c:axId val="277350544"/>
        <c:scaling>
          <c:orientation val="minMax"/>
        </c:scaling>
        <c:delete val="0"/>
        <c:axPos val="l"/>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73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[Dasboard Sales.xlsx]Analisis Pivot!PivotTable6</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Produk Terjual</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Pivot'!$B$36</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Pivot'!$A$37:$A$43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 Pivot'!$B$37:$B$43</c:f>
              <c:numCache>
                <c:formatCode>[$$-1009]#,##0.00</c:formatCode>
                <c:ptCount val="6"/>
                <c:pt idx="0">
                  <c:v>19742.840000000004</c:v>
                </c:pt>
                <c:pt idx="1">
                  <c:v>16775.04</c:v>
                </c:pt>
                <c:pt idx="2">
                  <c:v>18296.070000000003</c:v>
                </c:pt>
                <c:pt idx="3">
                  <c:v>16370.579999999996</c:v>
                </c:pt>
                <c:pt idx="4">
                  <c:v>17703.810000000001</c:v>
                </c:pt>
                <c:pt idx="5">
                  <c:v>17975.060000000009</c:v>
                </c:pt>
              </c:numCache>
            </c:numRef>
          </c:val>
          <c:extLst>
            <c:ext xmlns:c16="http://schemas.microsoft.com/office/drawing/2014/chart" uri="{C3380CC4-5D6E-409C-BE32-E72D297353CC}">
              <c16:uniqueId val="{00000000-6FD1-4CBC-A448-5022A06A03BB}"/>
            </c:ext>
          </c:extLst>
        </c:ser>
        <c:dLbls>
          <c:dLblPos val="inEnd"/>
          <c:showLegendKey val="0"/>
          <c:showVal val="1"/>
          <c:showCatName val="0"/>
          <c:showSerName val="0"/>
          <c:showPercent val="0"/>
          <c:showBubbleSize val="0"/>
        </c:dLbls>
        <c:gapWidth val="41"/>
        <c:axId val="349190208"/>
        <c:axId val="349191168"/>
      </c:barChart>
      <c:catAx>
        <c:axId val="34919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9191168"/>
        <c:crosses val="autoZero"/>
        <c:auto val="1"/>
        <c:lblAlgn val="ctr"/>
        <c:lblOffset val="100"/>
        <c:noMultiLvlLbl val="0"/>
      </c:catAx>
      <c:valAx>
        <c:axId val="349191168"/>
        <c:scaling>
          <c:orientation val="minMax"/>
        </c:scaling>
        <c:delete val="1"/>
        <c:axPos val="l"/>
        <c:numFmt formatCode="[$$-1009]#,##0.00" sourceLinked="1"/>
        <c:majorTickMark val="none"/>
        <c:minorTickMark val="none"/>
        <c:tickLblPos val="nextTo"/>
        <c:crossAx val="34919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[Dasboard Sales.xlsx]Analisis Pivot!PivotTable7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7"/>
      </c:pivotFmt>
      <c:pivotFmt>
        <c:idx val="8"/>
      </c:pivotFmt>
    </c:pivotFmts>
    <c:plotArea>
      <c:layout/>
      <c:pieChart>
        <c:varyColors val="1"/>
        <c:ser>
          <c:idx val="0"/>
          <c:order val="0"/>
          <c:tx>
            <c:strRef>
              <c:f>'Analisis Pivot'!$B$45</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AFDC-4BCA-B8FB-FEB844832B07}"/>
              </c:ext>
            </c:extLst>
          </c:dPt>
          <c:dPt>
            <c:idx val="1"/>
            <c:bubble3D val="0"/>
            <c:spPr>
              <a:gradFill>
                <a:gsLst>
                  <a:gs pos="100000">
                    <a:schemeClr val="accent2">
                      <a:tint val="30000"/>
                      <a:lumMod val="60000"/>
                      <a:lumOff val="40000"/>
                    </a:schemeClr>
                  </a:gs>
                  <a:gs pos="0">
                    <a:schemeClr val="accent2">
                      <a:tint val="30000"/>
                    </a:schemeClr>
                  </a:gs>
                </a:gsLst>
                <a:lin ang="5400000" scaled="0"/>
              </a:gradFill>
              <a:ln w="19050">
                <a:solidFill>
                  <a:schemeClr val="lt1"/>
                </a:solidFill>
              </a:ln>
              <a:effectLst/>
            </c:spPr>
            <c:extLst>
              <c:ext xmlns:c16="http://schemas.microsoft.com/office/drawing/2014/chart" uri="{C3380CC4-5D6E-409C-BE32-E72D297353CC}">
                <c16:uniqueId val="{00000003-AFDC-4BCA-B8FB-FEB844832B07}"/>
              </c:ext>
            </c:extLst>
          </c:dPt>
          <c:dPt>
            <c:idx val="2"/>
            <c:bubble3D val="0"/>
            <c:spPr>
              <a:gradFill>
                <a:gsLst>
                  <a:gs pos="100000">
                    <a:schemeClr val="accent2">
                      <a:tint val="60000"/>
                      <a:lumMod val="60000"/>
                      <a:lumOff val="40000"/>
                    </a:schemeClr>
                  </a:gs>
                  <a:gs pos="0">
                    <a:schemeClr val="accent2">
                      <a:tint val="60000"/>
                    </a:schemeClr>
                  </a:gs>
                </a:gsLst>
                <a:lin ang="5400000" scaled="0"/>
              </a:gradFill>
              <a:ln w="19050">
                <a:solidFill>
                  <a:schemeClr val="lt1"/>
                </a:solidFill>
              </a:ln>
              <a:effectLst/>
            </c:spPr>
            <c:extLst>
              <c:ext xmlns:c16="http://schemas.microsoft.com/office/drawing/2014/chart" uri="{C3380CC4-5D6E-409C-BE32-E72D297353CC}">
                <c16:uniqueId val="{00000005-AFDC-4BCA-B8FB-FEB844832B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 Pivot'!$A$46:$A$47</c:f>
              <c:strCache>
                <c:ptCount val="1"/>
                <c:pt idx="0">
                  <c:v>Cash</c:v>
                </c:pt>
              </c:strCache>
            </c:strRef>
          </c:cat>
          <c:val>
            <c:numRef>
              <c:f>'Analisis Pivot'!$B$46:$B$47</c:f>
              <c:numCache>
                <c:formatCode>General</c:formatCode>
                <c:ptCount val="1"/>
                <c:pt idx="0">
                  <c:v>344</c:v>
                </c:pt>
              </c:numCache>
            </c:numRef>
          </c:val>
          <c:extLst>
            <c:ext xmlns:c16="http://schemas.microsoft.com/office/drawing/2014/chart" uri="{C3380CC4-5D6E-409C-BE32-E72D297353CC}">
              <c16:uniqueId val="{00000006-AFDC-4BCA-B8FB-FEB844832B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Sales.xlsx]Analisis 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berdasarkan Kota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'Analisis Pivot'!$B$52</c:f>
              <c:strCache>
                <c:ptCount val="1"/>
                <c:pt idx="0">
                  <c:v>Total</c:v>
                </c:pt>
              </c:strCache>
            </c:strRef>
          </c:tx>
          <c:spPr>
            <a:solidFill>
              <a:schemeClr val="accent2"/>
            </a:solidFill>
            <a:ln>
              <a:noFill/>
            </a:ln>
            <a:effectLst/>
            <a:sp3d/>
          </c:spPr>
          <c:invertIfNegative val="0"/>
          <c:cat>
            <c:strRef>
              <c:f>'Analisis Pivot'!$A$53:$A$56</c:f>
              <c:strCache>
                <c:ptCount val="3"/>
                <c:pt idx="0">
                  <c:v>Mandalay</c:v>
                </c:pt>
                <c:pt idx="1">
                  <c:v>Naypyitaw</c:v>
                </c:pt>
                <c:pt idx="2">
                  <c:v>Yangon</c:v>
                </c:pt>
              </c:strCache>
            </c:strRef>
          </c:cat>
          <c:val>
            <c:numRef>
              <c:f>'Analisis Pivot'!$B$53:$B$56</c:f>
              <c:numCache>
                <c:formatCode>General</c:formatCode>
                <c:ptCount val="3"/>
                <c:pt idx="0">
                  <c:v>6.9981818181818198</c:v>
                </c:pt>
                <c:pt idx="1">
                  <c:v>6.9733870967741947</c:v>
                </c:pt>
                <c:pt idx="2">
                  <c:v>6.9381818181818238</c:v>
                </c:pt>
              </c:numCache>
            </c:numRef>
          </c:val>
          <c:extLst>
            <c:ext xmlns:c16="http://schemas.microsoft.com/office/drawing/2014/chart" uri="{C3380CC4-5D6E-409C-BE32-E72D297353CC}">
              <c16:uniqueId val="{00000000-31F6-4D54-9898-5252C3DFF76B}"/>
            </c:ext>
          </c:extLst>
        </c:ser>
        <c:dLbls>
          <c:showLegendKey val="0"/>
          <c:showVal val="0"/>
          <c:showCatName val="0"/>
          <c:showSerName val="0"/>
          <c:showPercent val="0"/>
          <c:showBubbleSize val="0"/>
        </c:dLbls>
        <c:gapWidth val="150"/>
        <c:shape val="box"/>
        <c:axId val="482289456"/>
        <c:axId val="482287536"/>
        <c:axId val="0"/>
      </c:bar3DChart>
      <c:catAx>
        <c:axId val="482289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87536"/>
        <c:crosses val="autoZero"/>
        <c:auto val="1"/>
        <c:lblAlgn val="ctr"/>
        <c:lblOffset val="100"/>
        <c:noMultiLvlLbl val="0"/>
      </c:catAx>
      <c:valAx>
        <c:axId val="48228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Sales.xlsx]Analisis Pivot!PivotTable7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'Analisis Pivot'!$B$45</c:f>
              <c:strCache>
                <c:ptCount val="1"/>
                <c:pt idx="0">
                  <c:v>Total</c:v>
                </c:pt>
              </c:strCache>
            </c:strRef>
          </c:tx>
          <c:dPt>
            <c:idx val="0"/>
            <c:bubble3D val="0"/>
            <c:spPr>
              <a:solidFill>
                <a:schemeClr val="accent1"/>
              </a:solidFill>
              <a:ln w="19050">
                <a:solidFill>
                  <a:schemeClr val="lt1"/>
                </a:solidFill>
              </a:ln>
              <a:effectLst/>
            </c:spPr>
          </c:dPt>
          <c:cat>
            <c:strRef>
              <c:f>'Analisis Pivot'!$A$46:$A$47</c:f>
              <c:strCache>
                <c:ptCount val="1"/>
                <c:pt idx="0">
                  <c:v>Cash</c:v>
                </c:pt>
              </c:strCache>
            </c:strRef>
          </c:cat>
          <c:val>
            <c:numRef>
              <c:f>'Analisis Pivot'!$B$46:$B$47</c:f>
              <c:numCache>
                <c:formatCode>General</c:formatCode>
                <c:ptCount val="1"/>
                <c:pt idx="0">
                  <c:v>344</c:v>
                </c:pt>
              </c:numCache>
            </c:numRef>
          </c:val>
          <c:extLst>
            <c:ext xmlns:c16="http://schemas.microsoft.com/office/drawing/2014/chart" uri="{C3380CC4-5D6E-409C-BE32-E72D297353CC}">
              <c16:uniqueId val="{00000000-F30E-44C7-985A-CD3200E07A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Sales.xlsx]Analisis 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berdasarkan Kota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'Analisis Pivot'!$B$52</c:f>
              <c:strCache>
                <c:ptCount val="1"/>
                <c:pt idx="0">
                  <c:v>Total</c:v>
                </c:pt>
              </c:strCache>
            </c:strRef>
          </c:tx>
          <c:spPr>
            <a:solidFill>
              <a:schemeClr val="accent1"/>
            </a:solidFill>
            <a:ln>
              <a:noFill/>
            </a:ln>
            <a:effectLst/>
            <a:sp3d/>
          </c:spPr>
          <c:invertIfNegative val="0"/>
          <c:cat>
            <c:strRef>
              <c:f>'Analisis Pivot'!$A$53:$A$56</c:f>
              <c:strCache>
                <c:ptCount val="3"/>
                <c:pt idx="0">
                  <c:v>Mandalay</c:v>
                </c:pt>
                <c:pt idx="1">
                  <c:v>Naypyitaw</c:v>
                </c:pt>
                <c:pt idx="2">
                  <c:v>Yangon</c:v>
                </c:pt>
              </c:strCache>
            </c:strRef>
          </c:cat>
          <c:val>
            <c:numRef>
              <c:f>'Analisis Pivot'!$B$53:$B$56</c:f>
              <c:numCache>
                <c:formatCode>General</c:formatCode>
                <c:ptCount val="3"/>
                <c:pt idx="0">
                  <c:v>6.9981818181818198</c:v>
                </c:pt>
                <c:pt idx="1">
                  <c:v>6.9733870967741947</c:v>
                </c:pt>
                <c:pt idx="2">
                  <c:v>6.9381818181818238</c:v>
                </c:pt>
              </c:numCache>
            </c:numRef>
          </c:val>
          <c:extLst>
            <c:ext xmlns:c16="http://schemas.microsoft.com/office/drawing/2014/chart" uri="{C3380CC4-5D6E-409C-BE32-E72D297353CC}">
              <c16:uniqueId val="{00000000-7D22-45C9-BA69-25E65631BE18}"/>
            </c:ext>
          </c:extLst>
        </c:ser>
        <c:dLbls>
          <c:showLegendKey val="0"/>
          <c:showVal val="0"/>
          <c:showCatName val="0"/>
          <c:showSerName val="0"/>
          <c:showPercent val="0"/>
          <c:showBubbleSize val="0"/>
        </c:dLbls>
        <c:gapWidth val="150"/>
        <c:shape val="box"/>
        <c:axId val="482289456"/>
        <c:axId val="482287536"/>
        <c:axId val="0"/>
      </c:bar3DChart>
      <c:catAx>
        <c:axId val="482289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87536"/>
        <c:crosses val="autoZero"/>
        <c:auto val="1"/>
        <c:lblAlgn val="ctr"/>
        <c:lblOffset val="100"/>
        <c:noMultiLvlLbl val="0"/>
      </c:catAx>
      <c:valAx>
        <c:axId val="482287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28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171450</xdr:colOff>
      <xdr:row>16</xdr:row>
      <xdr:rowOff>85724</xdr:rowOff>
    </xdr:from>
    <xdr:to>
      <xdr:col>13</xdr:col>
      <xdr:colOff>495300</xdr:colOff>
      <xdr:row>36</xdr:row>
      <xdr:rowOff>152399</xdr:rowOff>
    </xdr:to>
    <xdr:graphicFrame macro="">
      <xdr:nvGraphicFramePr>
        <xdr:cNvPr id="2" name="Chart 1">
          <a:extLst>
            <a:ext uri="{FF2B5EF4-FFF2-40B4-BE49-F238E27FC236}">
              <a16:creationId xmlns:a16="http://schemas.microsoft.com/office/drawing/2014/main" id="{3BDBCF73-3A1B-4D7E-83CC-3049D5E05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123825</xdr:colOff>
      <xdr:row>7</xdr:row>
      <xdr:rowOff>142874</xdr:rowOff>
    </xdr:from>
    <xdr:to>
      <xdr:col>13</xdr:col>
      <xdr:colOff>504825</xdr:colOff>
      <xdr:row>15</xdr:row>
      <xdr:rowOff>133349</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5FECD3B8-A9FC-D6A6-49AB-73F117326DF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569884" y="1778933"/>
              <a:ext cx="4616823" cy="15144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619125</xdr:colOff>
      <xdr:row>7</xdr:row>
      <xdr:rowOff>161925</xdr:rowOff>
    </xdr:from>
    <xdr:to>
      <xdr:col>17</xdr:col>
      <xdr:colOff>447675</xdr:colOff>
      <xdr:row>22</xdr:row>
      <xdr:rowOff>47625</xdr:rowOff>
    </xdr:to>
    <xdr:graphicFrame macro="">
      <xdr:nvGraphicFramePr>
        <xdr:cNvPr id="4" name="Chart 3">
          <a:extLst>
            <a:ext uri="{FF2B5EF4-FFF2-40B4-BE49-F238E27FC236}">
              <a16:creationId xmlns:a16="http://schemas.microsoft.com/office/drawing/2014/main" id="{14F98310-C4C6-4E5F-9673-D6C7F5118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76200</xdr:colOff>
      <xdr:row>7</xdr:row>
      <xdr:rowOff>95250</xdr:rowOff>
    </xdr:from>
    <xdr:to>
      <xdr:col>9</xdr:col>
      <xdr:colOff>38100</xdr:colOff>
      <xdr:row>21</xdr:row>
      <xdr:rowOff>171450</xdr:rowOff>
    </xdr:to>
    <xdr:graphicFrame macro="">
      <xdr:nvGraphicFramePr>
        <xdr:cNvPr id="5" name="Chart 4">
          <a:extLst>
            <a:ext uri="{FF2B5EF4-FFF2-40B4-BE49-F238E27FC236}">
              <a16:creationId xmlns:a16="http://schemas.microsoft.com/office/drawing/2014/main" id="{2F9D29E6-7115-4AD9-BA8B-2980CBAA6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85725</xdr:colOff>
      <xdr:row>22</xdr:row>
      <xdr:rowOff>66675</xdr:rowOff>
    </xdr:from>
    <xdr:to>
      <xdr:col>9</xdr:col>
      <xdr:colOff>47625</xdr:colOff>
      <xdr:row>36</xdr:row>
      <xdr:rowOff>142875</xdr:rowOff>
    </xdr:to>
    <xdr:graphicFrame macro="">
      <xdr:nvGraphicFramePr>
        <xdr:cNvPr id="6" name="Chart 5">
          <a:extLst>
            <a:ext uri="{FF2B5EF4-FFF2-40B4-BE49-F238E27FC236}">
              <a16:creationId xmlns:a16="http://schemas.microsoft.com/office/drawing/2014/main" id="{09EE507C-D9BA-4918-8E0E-9BC1CD91E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657225</xdr:colOff>
      <xdr:row>22</xdr:row>
      <xdr:rowOff>180975</xdr:rowOff>
    </xdr:from>
    <xdr:to>
      <xdr:col>14</xdr:col>
      <xdr:colOff>438150</xdr:colOff>
      <xdr:row>28</xdr:row>
      <xdr:rowOff>171450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5580236D-F8E3-CE44-7918-A9A044BB6A8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339107" y="4674534"/>
              <a:ext cx="1831602"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552450</xdr:colOff>
      <xdr:row>33</xdr:row>
      <xdr:rowOff>1</xdr:rowOff>
    </xdr:from>
    <xdr:to>
      <xdr:col>16</xdr:col>
      <xdr:colOff>295275</xdr:colOff>
      <xdr:row>38</xdr:row>
      <xdr:rowOff>0</xdr:rowOff>
    </xdr:to>
    <mc:AlternateContent xmlns:mc="http://schemas.openxmlformats.org/markup-compatibility/2006">
      <mc:Choice xmlns:a14="http://schemas.microsoft.com/office/drawing/2010/main" Requires="a14">
        <xdr:graphicFrame macro="">
          <xdr:nvGraphicFramePr>
            <xdr:cNvPr id="8" name="Customer type">
              <a:extLst>
                <a:ext uri="{FF2B5EF4-FFF2-40B4-BE49-F238E27FC236}">
                  <a16:creationId xmlns:a16="http://schemas.microsoft.com/office/drawing/2014/main" id="{F8E82BBC-D452-BC47-E5EF-70EB82CC7548}"/>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2285009" y="6589060"/>
              <a:ext cx="1827119"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552450</xdr:colOff>
      <xdr:row>22</xdr:row>
      <xdr:rowOff>180976</xdr:rowOff>
    </xdr:from>
    <xdr:to>
      <xdr:col>16</xdr:col>
      <xdr:colOff>295275</xdr:colOff>
      <xdr:row>31</xdr:row>
      <xdr:rowOff>161926</xdr:rowOff>
    </xdr:to>
    <mc:AlternateContent xmlns:mc="http://schemas.openxmlformats.org/markup-compatibility/2006">
      <mc:Choice xmlns:a14="http://schemas.microsoft.com/office/drawing/2010/main" Requires="a14">
        <xdr:graphicFrame macro="">
          <xdr:nvGraphicFramePr>
            <xdr:cNvPr id="9" name="Product line">
              <a:extLst>
                <a:ext uri="{FF2B5EF4-FFF2-40B4-BE49-F238E27FC236}">
                  <a16:creationId xmlns:a16="http://schemas.microsoft.com/office/drawing/2014/main" id="{F93E1C9C-8DFC-202F-7606-A7783ABC9BA6}"/>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2285009" y="4674535"/>
              <a:ext cx="1827119"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628650</xdr:colOff>
      <xdr:row>29</xdr:row>
      <xdr:rowOff>133350</xdr:rowOff>
    </xdr:from>
    <xdr:to>
      <xdr:col>14</xdr:col>
      <xdr:colOff>409575</xdr:colOff>
      <xdr:row>36</xdr:row>
      <xdr:rowOff>28575</xdr:rowOff>
    </xdr:to>
    <mc:AlternateContent xmlns:mc="http://schemas.openxmlformats.org/markup-compatibility/2006">
      <mc:Choice xmlns:a14="http://schemas.microsoft.com/office/drawing/2010/main" Requires="a14">
        <xdr:graphicFrame macro="">
          <xdr:nvGraphicFramePr>
            <xdr:cNvPr id="10" name="Payment">
              <a:extLst>
                <a:ext uri="{FF2B5EF4-FFF2-40B4-BE49-F238E27FC236}">
                  <a16:creationId xmlns:a16="http://schemas.microsoft.com/office/drawing/2014/main" id="{7681A18B-95BC-14E0-8CEA-43C72B975FCA}"/>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0310532" y="5960409"/>
              <a:ext cx="1831602"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33</xdr:row>
      <xdr:rowOff>171450</xdr:rowOff>
    </xdr:from>
    <xdr:to>
      <xdr:col>10</xdr:col>
      <xdr:colOff>266700</xdr:colOff>
      <xdr:row>48</xdr:row>
      <xdr:rowOff>57150</xdr:rowOff>
    </xdr:to>
    <xdr:graphicFrame macro="">
      <xdr:nvGraphicFramePr>
        <xdr:cNvPr id="4" name="Chart 3">
          <a:extLst>
            <a:ext uri="{FF2B5EF4-FFF2-40B4-BE49-F238E27FC236}">
              <a16:creationId xmlns:a16="http://schemas.microsoft.com/office/drawing/2014/main" id="{7BA0EE1F-8277-86B9-0CE6-570D0AE0F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161925</xdr:colOff>
      <xdr:row>49</xdr:row>
      <xdr:rowOff>57150</xdr:rowOff>
    </xdr:from>
    <xdr:to>
      <xdr:col>10</xdr:col>
      <xdr:colOff>466725</xdr:colOff>
      <xdr:row>63</xdr:row>
      <xdr:rowOff>133350</xdr:rowOff>
    </xdr:to>
    <xdr:graphicFrame macro="">
      <xdr:nvGraphicFramePr>
        <xdr:cNvPr id="6" name="Chart 5">
          <a:extLst>
            <a:ext uri="{FF2B5EF4-FFF2-40B4-BE49-F238E27FC236}">
              <a16:creationId xmlns:a16="http://schemas.microsoft.com/office/drawing/2014/main" id="{00B92CE4-B69B-4691-9278-F62B548E0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849482291669" createdVersion="8" refreshedVersion="8" minRefreshableVersion="3" recordCount="1000" xr:uid="{9C287C52-DCB4-4AC3-80B1-06634AA5CFEC}">
  <cacheSource type="worksheet">
    <worksheetSource name="Table2"/>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Days (Date)" numFmtId="0" databaseField="0">
      <fieldGroup base="10">
        <rangePr groupBy="days" startDate="2019-01-01T00:00:00" endDate="2019-12-04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19"/>
        </groupItems>
      </fieldGroup>
    </cacheField>
    <cacheField name="Months (Date)" numFmtId="0" databaseField="0">
      <fieldGroup base="10">
        <rangePr groupBy="months" startDate="2019-01-01T00:00:00" endDate="2019-12-04T00:00:00"/>
        <groupItems count="14">
          <s v="&lt;1/1/2019"/>
          <s v="Jan"/>
          <s v="Feb"/>
          <s v="Mar"/>
          <s v="Apr"/>
          <s v="May"/>
          <s v="Jun"/>
          <s v="Jul"/>
          <s v="Aug"/>
          <s v="Sep"/>
          <s v="Oct"/>
          <s v="Nov"/>
          <s v="Dec"/>
          <s v="&gt;12/4/2019"/>
        </groupItems>
      </fieldGroup>
    </cacheField>
  </cacheFields>
  <extLst>
    <ext xmlns:x14="http://schemas.microsoft.com/office/spreadsheetml/2009/9/main" uri="{725AE2AE-9491-48be-B2B4-4EB974FC3084}">
      <x14:pivotCacheDefinition pivotCacheId="793721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n v="26.141500000000001"/>
    <n v="548.97149999999999"/>
    <x v="0"/>
    <d v="1899-12-30T13:08:00"/>
    <x v="0"/>
    <n v="522.83000000000004"/>
    <n v="4.7619047620000003"/>
    <n v="26.141500000000001"/>
    <x v="0"/>
  </r>
  <r>
    <s v="226-31-3081"/>
    <s v="C"/>
    <x v="1"/>
    <x v="1"/>
    <s v="Female"/>
    <x v="1"/>
    <n v="15.28"/>
    <n v="5"/>
    <n v="3.82"/>
    <n v="80.22"/>
    <x v="1"/>
    <d v="1899-12-30T10:29:00"/>
    <x v="1"/>
    <n v="76.400000000000006"/>
    <n v="4.7619047620000003"/>
    <n v="3.82"/>
    <x v="1"/>
  </r>
  <r>
    <s v="631-41-3108"/>
    <s v="A"/>
    <x v="0"/>
    <x v="1"/>
    <s v="Male"/>
    <x v="2"/>
    <n v="46.33"/>
    <n v="7"/>
    <n v="16.215499999999999"/>
    <n v="340.52550000000002"/>
    <x v="2"/>
    <d v="1899-12-30T13:23:00"/>
    <x v="2"/>
    <n v="324.31"/>
    <n v="4.7619047620000003"/>
    <n v="16.215499999999999"/>
    <x v="2"/>
  </r>
  <r>
    <s v="123-19-1176"/>
    <s v="A"/>
    <x v="0"/>
    <x v="0"/>
    <s v="Male"/>
    <x v="0"/>
    <n v="58.22"/>
    <n v="8"/>
    <n v="23.288"/>
    <n v="489.048"/>
    <x v="3"/>
    <d v="1899-12-30T20:33:00"/>
    <x v="0"/>
    <n v="465.76"/>
    <n v="4.7619047620000003"/>
    <n v="23.288"/>
    <x v="3"/>
  </r>
  <r>
    <s v="373-73-7910"/>
    <s v="A"/>
    <x v="0"/>
    <x v="1"/>
    <s v="Male"/>
    <x v="3"/>
    <n v="86.31"/>
    <n v="7"/>
    <n v="30.208500000000001"/>
    <n v="634.37850000000003"/>
    <x v="4"/>
    <d v="1899-12-30T10:37:00"/>
    <x v="0"/>
    <n v="604.16999999999996"/>
    <n v="4.7619047620000003"/>
    <n v="30.208500000000001"/>
    <x v="4"/>
  </r>
  <r>
    <s v="699-14-3026"/>
    <s v="C"/>
    <x v="1"/>
    <x v="1"/>
    <s v="Male"/>
    <x v="1"/>
    <n v="85.39"/>
    <n v="7"/>
    <n v="29.886500000000002"/>
    <n v="627.61649999999997"/>
    <x v="5"/>
    <d v="1899-12-30T18:30:00"/>
    <x v="0"/>
    <n v="597.73"/>
    <n v="4.7619047620000003"/>
    <n v="29.886500000000002"/>
    <x v="5"/>
  </r>
  <r>
    <s v="355-53-5943"/>
    <s v="A"/>
    <x v="0"/>
    <x v="0"/>
    <s v="Female"/>
    <x v="1"/>
    <n v="68.84"/>
    <n v="6"/>
    <n v="20.652000000000001"/>
    <n v="433.69200000000001"/>
    <x v="6"/>
    <d v="1899-12-30T14:36:00"/>
    <x v="0"/>
    <n v="413.04"/>
    <n v="4.7619047620000003"/>
    <n v="20.652000000000001"/>
    <x v="6"/>
  </r>
  <r>
    <s v="315-22-5665"/>
    <s v="C"/>
    <x v="1"/>
    <x v="1"/>
    <s v="Female"/>
    <x v="2"/>
    <n v="73.56"/>
    <n v="10"/>
    <n v="36.78"/>
    <n v="772.38"/>
    <x v="7"/>
    <d v="1899-12-30T11:38:00"/>
    <x v="0"/>
    <n v="735.6"/>
    <n v="4.7619047620000003"/>
    <n v="36.78"/>
    <x v="7"/>
  </r>
  <r>
    <s v="665-32-9167"/>
    <s v="A"/>
    <x v="0"/>
    <x v="0"/>
    <s v="Female"/>
    <x v="0"/>
    <n v="36.26"/>
    <n v="2"/>
    <n v="3.6259999999999999"/>
    <n v="76.146000000000001"/>
    <x v="8"/>
    <d v="1899-12-30T17:15:00"/>
    <x v="2"/>
    <n v="72.52"/>
    <n v="4.7619047620000003"/>
    <n v="3.6259999999999999"/>
    <x v="8"/>
  </r>
  <r>
    <s v="692-92-5582"/>
    <s v="B"/>
    <x v="2"/>
    <x v="0"/>
    <s v="Female"/>
    <x v="4"/>
    <n v="54.84"/>
    <n v="3"/>
    <n v="8.2260000000000009"/>
    <n v="172.74600000000001"/>
    <x v="9"/>
    <d v="1899-12-30T13:27:00"/>
    <x v="2"/>
    <n v="164.52"/>
    <n v="4.7619047620000003"/>
    <n v="8.2260000000000009"/>
    <x v="9"/>
  </r>
  <r>
    <s v="351-62-0822"/>
    <s v="B"/>
    <x v="2"/>
    <x v="0"/>
    <s v="Female"/>
    <x v="5"/>
    <n v="14.48"/>
    <n v="4"/>
    <n v="2.8959999999999999"/>
    <n v="60.816000000000003"/>
    <x v="10"/>
    <d v="1899-12-30T18:07:00"/>
    <x v="0"/>
    <n v="57.92"/>
    <n v="4.7619047620000003"/>
    <n v="2.8959999999999999"/>
    <x v="10"/>
  </r>
  <r>
    <s v="529-56-3974"/>
    <s v="B"/>
    <x v="2"/>
    <x v="0"/>
    <s v="Male"/>
    <x v="1"/>
    <n v="25.51"/>
    <n v="4"/>
    <n v="5.1020000000000003"/>
    <n v="107.142"/>
    <x v="11"/>
    <d v="1899-12-30T17:03:00"/>
    <x v="1"/>
    <n v="102.04"/>
    <n v="4.7619047620000003"/>
    <n v="5.1020000000000003"/>
    <x v="11"/>
  </r>
  <r>
    <s v="365-64-0515"/>
    <s v="A"/>
    <x v="0"/>
    <x v="1"/>
    <s v="Female"/>
    <x v="1"/>
    <n v="46.95"/>
    <n v="5"/>
    <n v="11.737500000000001"/>
    <n v="246.48750000000001"/>
    <x v="12"/>
    <d v="1899-12-30T10:25:00"/>
    <x v="0"/>
    <n v="234.75"/>
    <n v="4.7619047620000003"/>
    <n v="11.737500000000001"/>
    <x v="12"/>
  </r>
  <r>
    <s v="252-56-2699"/>
    <s v="A"/>
    <x v="0"/>
    <x v="1"/>
    <s v="Male"/>
    <x v="4"/>
    <n v="43.19"/>
    <n v="10"/>
    <n v="21.594999999999999"/>
    <n v="453.495"/>
    <x v="13"/>
    <d v="1899-12-30T16:48:00"/>
    <x v="0"/>
    <n v="431.9"/>
    <n v="4.7619047620000003"/>
    <n v="21.594999999999999"/>
    <x v="13"/>
  </r>
  <r>
    <s v="829-34-3910"/>
    <s v="A"/>
    <x v="0"/>
    <x v="1"/>
    <s v="Female"/>
    <x v="0"/>
    <n v="71.38"/>
    <n v="10"/>
    <n v="35.69"/>
    <n v="749.49"/>
    <x v="14"/>
    <d v="1899-12-30T19:21:00"/>
    <x v="1"/>
    <n v="713.8"/>
    <n v="4.7619047620000003"/>
    <n v="35.69"/>
    <x v="14"/>
  </r>
  <r>
    <s v="299-46-1805"/>
    <s v="B"/>
    <x v="2"/>
    <x v="0"/>
    <s v="Female"/>
    <x v="3"/>
    <n v="93.72"/>
    <n v="6"/>
    <n v="28.116"/>
    <n v="590.43600000000004"/>
    <x v="15"/>
    <d v="1899-12-30T16:19:00"/>
    <x v="1"/>
    <n v="562.32000000000005"/>
    <n v="4.7619047620000003"/>
    <n v="28.116"/>
    <x v="10"/>
  </r>
  <r>
    <s v="656-95-9349"/>
    <s v="A"/>
    <x v="0"/>
    <x v="0"/>
    <s v="Female"/>
    <x v="0"/>
    <n v="68.930000000000007"/>
    <n v="7"/>
    <n v="24.125499999999999"/>
    <n v="506.63549999999998"/>
    <x v="16"/>
    <d v="1899-12-30T11:03:00"/>
    <x v="2"/>
    <n v="482.51"/>
    <n v="4.7619047620000003"/>
    <n v="24.125499999999999"/>
    <x v="15"/>
  </r>
  <r>
    <s v="765-26-6951"/>
    <s v="A"/>
    <x v="0"/>
    <x v="1"/>
    <s v="Male"/>
    <x v="3"/>
    <n v="72.61"/>
    <n v="6"/>
    <n v="21.783000000000001"/>
    <n v="457.44299999999998"/>
    <x v="17"/>
    <d v="1899-12-30T10:39:00"/>
    <x v="2"/>
    <n v="435.66"/>
    <n v="4.7619047620000003"/>
    <n v="21.783000000000001"/>
    <x v="16"/>
  </r>
  <r>
    <s v="329-62-1586"/>
    <s v="A"/>
    <x v="0"/>
    <x v="1"/>
    <s v="Male"/>
    <x v="4"/>
    <n v="54.67"/>
    <n v="3"/>
    <n v="8.2004999999999999"/>
    <n v="172.2105"/>
    <x v="18"/>
    <d v="1899-12-30T18:00:00"/>
    <x v="2"/>
    <n v="164.01"/>
    <n v="4.7619047620000003"/>
    <n v="8.2004999999999999"/>
    <x v="17"/>
  </r>
  <r>
    <s v="319-50-3348"/>
    <s v="B"/>
    <x v="2"/>
    <x v="1"/>
    <s v="Female"/>
    <x v="2"/>
    <n v="40.299999999999997"/>
    <n v="2"/>
    <n v="4.03"/>
    <n v="84.63"/>
    <x v="16"/>
    <d v="1899-12-30T15:30:00"/>
    <x v="0"/>
    <n v="80.599999999999994"/>
    <n v="4.7619047620000003"/>
    <n v="4.03"/>
    <x v="18"/>
  </r>
  <r>
    <s v="300-71-4605"/>
    <s v="C"/>
    <x v="1"/>
    <x v="0"/>
    <s v="Male"/>
    <x v="1"/>
    <n v="86.04"/>
    <n v="5"/>
    <n v="21.51"/>
    <n v="451.71"/>
    <x v="6"/>
    <d v="1899-12-30T11:24:00"/>
    <x v="0"/>
    <n v="430.2"/>
    <n v="4.7619047620000003"/>
    <n v="21.51"/>
    <x v="19"/>
  </r>
  <r>
    <s v="371-85-5789"/>
    <s v="B"/>
    <x v="2"/>
    <x v="1"/>
    <s v="Male"/>
    <x v="0"/>
    <n v="87.98"/>
    <n v="3"/>
    <n v="13.196999999999999"/>
    <n v="277.137"/>
    <x v="19"/>
    <d v="1899-12-30T10:40:00"/>
    <x v="0"/>
    <n v="263.94"/>
    <n v="4.7619047620000003"/>
    <n v="13.196999999999999"/>
    <x v="20"/>
  </r>
  <r>
    <s v="273-16-6619"/>
    <s v="B"/>
    <x v="2"/>
    <x v="1"/>
    <s v="Male"/>
    <x v="2"/>
    <n v="33.200000000000003"/>
    <n v="2"/>
    <n v="3.32"/>
    <n v="69.72"/>
    <x v="20"/>
    <d v="1899-12-30T12:20:00"/>
    <x v="2"/>
    <n v="66.400000000000006"/>
    <n v="4.7619047620000003"/>
    <n v="3.32"/>
    <x v="18"/>
  </r>
  <r>
    <s v="636-48-8204"/>
    <s v="A"/>
    <x v="0"/>
    <x v="1"/>
    <s v="Male"/>
    <x v="1"/>
    <n v="34.56"/>
    <n v="5"/>
    <n v="8.64"/>
    <n v="181.44"/>
    <x v="21"/>
    <d v="1899-12-30T11:15:00"/>
    <x v="0"/>
    <n v="172.8"/>
    <n v="4.7619047620000003"/>
    <n v="8.64"/>
    <x v="21"/>
  </r>
  <r>
    <s v="549-59-1358"/>
    <s v="A"/>
    <x v="0"/>
    <x v="0"/>
    <s v="Male"/>
    <x v="3"/>
    <n v="88.63"/>
    <n v="3"/>
    <n v="13.294499999999999"/>
    <n v="279.18450000000001"/>
    <x v="22"/>
    <d v="1899-12-30T17:36:00"/>
    <x v="0"/>
    <n v="265.89"/>
    <n v="4.7619047620000003"/>
    <n v="13.294499999999999"/>
    <x v="22"/>
  </r>
  <r>
    <s v="227-03-5010"/>
    <s v="A"/>
    <x v="0"/>
    <x v="0"/>
    <s v="Female"/>
    <x v="2"/>
    <n v="52.59"/>
    <n v="8"/>
    <n v="21.036000000000001"/>
    <n v="441.75599999999997"/>
    <x v="23"/>
    <d v="1899-12-30T19:20:00"/>
    <x v="2"/>
    <n v="420.72"/>
    <n v="4.7619047620000003"/>
    <n v="21.036000000000001"/>
    <x v="23"/>
  </r>
  <r>
    <s v="649-29-6775"/>
    <s v="B"/>
    <x v="2"/>
    <x v="1"/>
    <s v="Male"/>
    <x v="5"/>
    <n v="33.520000000000003"/>
    <n v="1"/>
    <n v="1.6759999999999999"/>
    <n v="35.195999999999998"/>
    <x v="4"/>
    <d v="1899-12-30T15:31:00"/>
    <x v="1"/>
    <n v="33.520000000000003"/>
    <n v="4.7619047620000003"/>
    <n v="1.6759999999999999"/>
    <x v="24"/>
  </r>
  <r>
    <s v="189-17-4241"/>
    <s v="A"/>
    <x v="0"/>
    <x v="1"/>
    <s v="Female"/>
    <x v="5"/>
    <n v="87.67"/>
    <n v="2"/>
    <n v="8.7669999999999995"/>
    <n v="184.107"/>
    <x v="24"/>
    <d v="1899-12-30T12:17:00"/>
    <x v="2"/>
    <n v="175.34"/>
    <n v="4.7619047620000003"/>
    <n v="8.7669999999999995"/>
    <x v="25"/>
  </r>
  <r>
    <s v="145-94-9061"/>
    <s v="B"/>
    <x v="2"/>
    <x v="1"/>
    <s v="Female"/>
    <x v="4"/>
    <n v="88.36"/>
    <n v="5"/>
    <n v="22.09"/>
    <n v="463.89"/>
    <x v="25"/>
    <d v="1899-12-30T19:48:00"/>
    <x v="1"/>
    <n v="441.8"/>
    <n v="4.7619047620000003"/>
    <n v="22.09"/>
    <x v="1"/>
  </r>
  <r>
    <s v="848-62-7243"/>
    <s v="A"/>
    <x v="0"/>
    <x v="1"/>
    <s v="Male"/>
    <x v="0"/>
    <n v="24.89"/>
    <n v="9"/>
    <n v="11.2005"/>
    <n v="235.2105"/>
    <x v="20"/>
    <d v="1899-12-30T15:36:00"/>
    <x v="1"/>
    <n v="224.01"/>
    <n v="4.7619047620000003"/>
    <n v="11.2005"/>
    <x v="2"/>
  </r>
  <r>
    <s v="871-79-8483"/>
    <s v="B"/>
    <x v="2"/>
    <x v="1"/>
    <s v="Male"/>
    <x v="5"/>
    <n v="94.13"/>
    <n v="5"/>
    <n v="23.532499999999999"/>
    <n v="494.1825"/>
    <x v="6"/>
    <d v="1899-12-30T19:39:00"/>
    <x v="2"/>
    <n v="470.65"/>
    <n v="4.7619047620000003"/>
    <n v="23.532499999999999"/>
    <x v="19"/>
  </r>
  <r>
    <s v="149-71-6266"/>
    <s v="B"/>
    <x v="2"/>
    <x v="0"/>
    <s v="Male"/>
    <x v="3"/>
    <n v="78.069999999999993"/>
    <n v="9"/>
    <n v="35.131500000000003"/>
    <n v="737.76149999999996"/>
    <x v="26"/>
    <d v="1899-12-30T12:43:00"/>
    <x v="1"/>
    <n v="702.63"/>
    <n v="4.7619047620000003"/>
    <n v="35.131500000000003"/>
    <x v="10"/>
  </r>
  <r>
    <s v="640-49-2076"/>
    <s v="B"/>
    <x v="2"/>
    <x v="1"/>
    <s v="Male"/>
    <x v="3"/>
    <n v="83.78"/>
    <n v="8"/>
    <n v="33.512"/>
    <n v="703.75199999999995"/>
    <x v="8"/>
    <d v="1899-12-30T14:49:00"/>
    <x v="1"/>
    <n v="670.24"/>
    <n v="4.7619047620000003"/>
    <n v="33.512"/>
    <x v="20"/>
  </r>
  <r>
    <s v="595-11-5460"/>
    <s v="A"/>
    <x v="0"/>
    <x v="1"/>
    <s v="Male"/>
    <x v="0"/>
    <n v="96.58"/>
    <n v="2"/>
    <n v="9.6579999999999995"/>
    <n v="202.81800000000001"/>
    <x v="20"/>
    <d v="1899-12-30T10:12:00"/>
    <x v="2"/>
    <n v="193.16"/>
    <n v="4.7619047620000003"/>
    <n v="9.6579999999999995"/>
    <x v="20"/>
  </r>
  <r>
    <s v="183-56-6882"/>
    <s v="C"/>
    <x v="1"/>
    <x v="0"/>
    <s v="Female"/>
    <x v="4"/>
    <n v="99.42"/>
    <n v="4"/>
    <n v="19.884"/>
    <n v="417.56400000000002"/>
    <x v="10"/>
    <d v="1899-12-30T10:42:00"/>
    <x v="0"/>
    <n v="397.68"/>
    <n v="4.7619047620000003"/>
    <n v="19.884"/>
    <x v="26"/>
  </r>
  <r>
    <s v="232-16-2483"/>
    <s v="C"/>
    <x v="1"/>
    <x v="0"/>
    <s v="Female"/>
    <x v="3"/>
    <n v="68.12"/>
    <n v="1"/>
    <n v="3.4060000000000001"/>
    <n v="71.525999999999996"/>
    <x v="27"/>
    <d v="1899-12-30T12:28:00"/>
    <x v="0"/>
    <n v="68.12"/>
    <n v="4.7619047620000003"/>
    <n v="3.4060000000000001"/>
    <x v="11"/>
  </r>
  <r>
    <s v="129-29-8530"/>
    <s v="A"/>
    <x v="0"/>
    <x v="0"/>
    <s v="Male"/>
    <x v="3"/>
    <n v="62.62"/>
    <n v="5"/>
    <n v="15.654999999999999"/>
    <n v="328.755"/>
    <x v="24"/>
    <d v="1899-12-30T19:15:00"/>
    <x v="0"/>
    <n v="313.10000000000002"/>
    <n v="4.7619047620000003"/>
    <n v="15.654999999999999"/>
    <x v="27"/>
  </r>
  <r>
    <s v="272-65-1806"/>
    <s v="A"/>
    <x v="0"/>
    <x v="1"/>
    <s v="Female"/>
    <x v="1"/>
    <n v="60.88"/>
    <n v="9"/>
    <n v="27.396000000000001"/>
    <n v="575.31600000000003"/>
    <x v="15"/>
    <d v="1899-12-30T17:17:00"/>
    <x v="0"/>
    <n v="547.91999999999996"/>
    <n v="4.7619047620000003"/>
    <n v="27.396000000000001"/>
    <x v="28"/>
  </r>
  <r>
    <s v="333-73-7901"/>
    <s v="C"/>
    <x v="1"/>
    <x v="1"/>
    <s v="Female"/>
    <x v="0"/>
    <n v="54.92"/>
    <n v="8"/>
    <n v="21.968"/>
    <n v="461.32799999999997"/>
    <x v="28"/>
    <d v="1899-12-30T13:24:00"/>
    <x v="0"/>
    <n v="439.36"/>
    <n v="4.7619047620000003"/>
    <n v="21.968"/>
    <x v="29"/>
  </r>
  <r>
    <s v="777-82-7220"/>
    <s v="B"/>
    <x v="2"/>
    <x v="0"/>
    <s v="Male"/>
    <x v="2"/>
    <n v="30.12"/>
    <n v="8"/>
    <n v="12.048"/>
    <n v="253.00800000000001"/>
    <x v="2"/>
    <d v="1899-12-30T13:01:00"/>
    <x v="1"/>
    <n v="240.96"/>
    <n v="4.7619047620000003"/>
    <n v="12.048"/>
    <x v="25"/>
  </r>
  <r>
    <s v="280-35-5823"/>
    <s v="B"/>
    <x v="2"/>
    <x v="0"/>
    <s v="Female"/>
    <x v="2"/>
    <n v="86.72"/>
    <n v="1"/>
    <n v="4.3360000000000003"/>
    <n v="91.055999999999997"/>
    <x v="29"/>
    <d v="1899-12-30T18:45:00"/>
    <x v="0"/>
    <n v="86.72"/>
    <n v="4.7619047620000003"/>
    <n v="4.3360000000000003"/>
    <x v="30"/>
  </r>
  <r>
    <s v="554-53-8700"/>
    <s v="C"/>
    <x v="1"/>
    <x v="0"/>
    <s v="Male"/>
    <x v="2"/>
    <n v="56.11"/>
    <n v="2"/>
    <n v="5.6109999999999998"/>
    <n v="117.831"/>
    <x v="30"/>
    <d v="1899-12-30T10:11:00"/>
    <x v="1"/>
    <n v="112.22"/>
    <n v="4.7619047620000003"/>
    <n v="5.6109999999999998"/>
    <x v="31"/>
  </r>
  <r>
    <s v="354-25-5821"/>
    <s v="B"/>
    <x v="2"/>
    <x v="0"/>
    <s v="Female"/>
    <x v="3"/>
    <n v="69.12"/>
    <n v="6"/>
    <n v="20.736000000000001"/>
    <n v="435.45600000000002"/>
    <x v="4"/>
    <d v="1899-12-30T13:03:00"/>
    <x v="1"/>
    <n v="414.72"/>
    <n v="4.7619047620000003"/>
    <n v="20.736000000000001"/>
    <x v="32"/>
  </r>
  <r>
    <s v="228-96-1411"/>
    <s v="C"/>
    <x v="1"/>
    <x v="0"/>
    <s v="Female"/>
    <x v="4"/>
    <n v="98.7"/>
    <n v="8"/>
    <n v="39.479999999999997"/>
    <n v="829.08"/>
    <x v="31"/>
    <d v="1899-12-30T20:39:00"/>
    <x v="1"/>
    <n v="789.6"/>
    <n v="4.7619047620000003"/>
    <n v="39.479999999999997"/>
    <x v="29"/>
  </r>
  <r>
    <s v="617-15-4209"/>
    <s v="C"/>
    <x v="1"/>
    <x v="0"/>
    <s v="Male"/>
    <x v="0"/>
    <n v="15.37"/>
    <n v="2"/>
    <n v="1.5369999999999999"/>
    <n v="32.277000000000001"/>
    <x v="32"/>
    <d v="1899-12-30T19:47:00"/>
    <x v="1"/>
    <n v="30.74"/>
    <n v="4.7619047620000003"/>
    <n v="1.5369999999999999"/>
    <x v="8"/>
  </r>
  <r>
    <s v="132-32-9879"/>
    <s v="B"/>
    <x v="2"/>
    <x v="0"/>
    <s v="Female"/>
    <x v="1"/>
    <n v="93.96"/>
    <n v="4"/>
    <n v="18.792000000000002"/>
    <n v="394.63200000000001"/>
    <x v="11"/>
    <d v="1899-12-30T18:00:00"/>
    <x v="1"/>
    <n v="375.84"/>
    <n v="4.7619047620000003"/>
    <n v="18.792000000000002"/>
    <x v="33"/>
  </r>
  <r>
    <s v="370-41-7321"/>
    <s v="B"/>
    <x v="2"/>
    <x v="0"/>
    <s v="Male"/>
    <x v="0"/>
    <n v="56.69"/>
    <n v="9"/>
    <n v="25.5105"/>
    <n v="535.72050000000002"/>
    <x v="33"/>
    <d v="1899-12-30T17:24:00"/>
    <x v="2"/>
    <n v="510.21"/>
    <n v="4.7619047620000003"/>
    <n v="25.5105"/>
    <x v="3"/>
  </r>
  <r>
    <s v="727-46-3608"/>
    <s v="B"/>
    <x v="2"/>
    <x v="0"/>
    <s v="Female"/>
    <x v="4"/>
    <n v="20.010000000000002"/>
    <n v="9"/>
    <n v="9.0045000000000002"/>
    <n v="189.09450000000001"/>
    <x v="10"/>
    <d v="1899-12-30T15:47:00"/>
    <x v="0"/>
    <n v="180.09"/>
    <n v="4.7619047620000003"/>
    <n v="9.0045000000000002"/>
    <x v="5"/>
  </r>
  <r>
    <s v="669-54-1719"/>
    <s v="B"/>
    <x v="2"/>
    <x v="0"/>
    <s v="Male"/>
    <x v="1"/>
    <n v="18.93"/>
    <n v="6"/>
    <n v="5.6790000000000003"/>
    <n v="119.259"/>
    <x v="34"/>
    <d v="1899-12-30T12:45:00"/>
    <x v="2"/>
    <n v="113.58"/>
    <n v="4.7619047620000003"/>
    <n v="5.6790000000000003"/>
    <x v="34"/>
  </r>
  <r>
    <s v="574-22-5561"/>
    <s v="C"/>
    <x v="1"/>
    <x v="0"/>
    <s v="Female"/>
    <x v="5"/>
    <n v="82.63"/>
    <n v="10"/>
    <n v="41.314999999999998"/>
    <n v="867.61500000000001"/>
    <x v="35"/>
    <d v="1899-12-30T17:08:00"/>
    <x v="0"/>
    <n v="826.3"/>
    <n v="4.7619047620000003"/>
    <n v="41.314999999999998"/>
    <x v="30"/>
  </r>
  <r>
    <s v="326-78-5178"/>
    <s v="C"/>
    <x v="1"/>
    <x v="0"/>
    <s v="Male"/>
    <x v="4"/>
    <n v="91.4"/>
    <n v="7"/>
    <n v="31.99"/>
    <n v="671.79"/>
    <x v="36"/>
    <d v="1899-12-30T10:19:00"/>
    <x v="1"/>
    <n v="639.79999999999995"/>
    <n v="4.7619047620000003"/>
    <n v="31.99"/>
    <x v="33"/>
  </r>
  <r>
    <s v="162-48-8011"/>
    <s v="A"/>
    <x v="0"/>
    <x v="0"/>
    <s v="Female"/>
    <x v="4"/>
    <n v="44.59"/>
    <n v="5"/>
    <n v="11.147500000000001"/>
    <n v="234.0975"/>
    <x v="34"/>
    <d v="1899-12-30T15:10:00"/>
    <x v="1"/>
    <n v="222.95"/>
    <n v="4.7619047620000003"/>
    <n v="11.147500000000001"/>
    <x v="23"/>
  </r>
  <r>
    <s v="616-24-2851"/>
    <s v="B"/>
    <x v="2"/>
    <x v="0"/>
    <s v="Female"/>
    <x v="5"/>
    <n v="17.87"/>
    <n v="4"/>
    <n v="3.5739999999999998"/>
    <n v="75.054000000000002"/>
    <x v="23"/>
    <d v="1899-12-30T14:42:00"/>
    <x v="0"/>
    <n v="71.48"/>
    <n v="4.7619047620000003"/>
    <n v="3.5739999999999998"/>
    <x v="35"/>
  </r>
  <r>
    <s v="778-71-5554"/>
    <s v="C"/>
    <x v="1"/>
    <x v="0"/>
    <s v="Male"/>
    <x v="5"/>
    <n v="15.43"/>
    <n v="1"/>
    <n v="0.77149999999999996"/>
    <n v="16.201499999999999"/>
    <x v="25"/>
    <d v="1899-12-30T15:46:00"/>
    <x v="2"/>
    <n v="15.43"/>
    <n v="4.7619047620000003"/>
    <n v="0.77149999999999996"/>
    <x v="36"/>
  </r>
  <r>
    <s v="242-55-6721"/>
    <s v="B"/>
    <x v="2"/>
    <x v="1"/>
    <s v="Male"/>
    <x v="2"/>
    <n v="16.16"/>
    <n v="2"/>
    <n v="1.6160000000000001"/>
    <n v="33.936"/>
    <x v="37"/>
    <d v="1899-12-30T11:49:00"/>
    <x v="0"/>
    <n v="32.32"/>
    <n v="4.7619047620000003"/>
    <n v="1.6160000000000001"/>
    <x v="35"/>
  </r>
  <r>
    <s v="399-46-5918"/>
    <s v="C"/>
    <x v="1"/>
    <x v="1"/>
    <s v="Female"/>
    <x v="1"/>
    <n v="85.98"/>
    <n v="8"/>
    <n v="34.392000000000003"/>
    <n v="722.23199999999997"/>
    <x v="38"/>
    <d v="1899-12-30T19:01:00"/>
    <x v="1"/>
    <n v="687.84"/>
    <n v="4.7619047620000003"/>
    <n v="34.392000000000003"/>
    <x v="13"/>
  </r>
  <r>
    <s v="106-35-6779"/>
    <s v="A"/>
    <x v="0"/>
    <x v="0"/>
    <s v="Male"/>
    <x v="2"/>
    <n v="44.34"/>
    <n v="2"/>
    <n v="4.4340000000000002"/>
    <n v="93.114000000000004"/>
    <x v="39"/>
    <d v="1899-12-30T11:26:00"/>
    <x v="1"/>
    <n v="88.68"/>
    <n v="4.7619047620000003"/>
    <n v="4.4340000000000002"/>
    <x v="6"/>
  </r>
  <r>
    <s v="635-40-6220"/>
    <s v="A"/>
    <x v="0"/>
    <x v="1"/>
    <s v="Male"/>
    <x v="0"/>
    <n v="89.6"/>
    <n v="8"/>
    <n v="35.840000000000003"/>
    <n v="752.64"/>
    <x v="13"/>
    <d v="1899-12-30T11:28:00"/>
    <x v="0"/>
    <n v="716.8"/>
    <n v="4.7619047620000003"/>
    <n v="35.840000000000003"/>
    <x v="37"/>
  </r>
  <r>
    <s v="817-48-8732"/>
    <s v="A"/>
    <x v="0"/>
    <x v="0"/>
    <s v="Female"/>
    <x v="2"/>
    <n v="72.349999999999994"/>
    <n v="10"/>
    <n v="36.174999999999997"/>
    <n v="759.67499999999995"/>
    <x v="40"/>
    <d v="1899-12-30T15:55:00"/>
    <x v="1"/>
    <n v="723.5"/>
    <n v="4.7619047620000003"/>
    <n v="36.174999999999997"/>
    <x v="38"/>
  </r>
  <r>
    <s v="120-06-4233"/>
    <s v="C"/>
    <x v="1"/>
    <x v="1"/>
    <s v="Male"/>
    <x v="1"/>
    <n v="30.61"/>
    <n v="6"/>
    <n v="9.1829999999999998"/>
    <n v="192.84299999999999"/>
    <x v="41"/>
    <d v="1899-12-30T20:36:00"/>
    <x v="1"/>
    <n v="183.66"/>
    <n v="4.7619047620000003"/>
    <n v="9.1829999999999998"/>
    <x v="39"/>
  </r>
  <r>
    <s v="285-68-5083"/>
    <s v="C"/>
    <x v="1"/>
    <x v="0"/>
    <s v="Female"/>
    <x v="3"/>
    <n v="24.74"/>
    <n v="3"/>
    <n v="3.7109999999999999"/>
    <n v="77.930999999999997"/>
    <x v="42"/>
    <d v="1899-12-30T17:47:00"/>
    <x v="2"/>
    <n v="74.22"/>
    <n v="4.7619047620000003"/>
    <n v="3.7109999999999999"/>
    <x v="40"/>
  </r>
  <r>
    <s v="803-83-5989"/>
    <s v="C"/>
    <x v="1"/>
    <x v="1"/>
    <s v="Male"/>
    <x v="2"/>
    <n v="55.73"/>
    <n v="6"/>
    <n v="16.719000000000001"/>
    <n v="351.09899999999999"/>
    <x v="7"/>
    <d v="1899-12-30T10:55:00"/>
    <x v="0"/>
    <n v="334.38"/>
    <n v="4.7619047620000003"/>
    <n v="16.719000000000001"/>
    <x v="27"/>
  </r>
  <r>
    <s v="347-34-2234"/>
    <s v="B"/>
    <x v="2"/>
    <x v="0"/>
    <s v="Female"/>
    <x v="3"/>
    <n v="55.07"/>
    <n v="9"/>
    <n v="24.781500000000001"/>
    <n v="520.41150000000005"/>
    <x v="36"/>
    <d v="1899-12-30T13:40:00"/>
    <x v="0"/>
    <n v="495.63"/>
    <n v="4.7619047620000003"/>
    <n v="24.781500000000001"/>
    <x v="40"/>
  </r>
  <r>
    <s v="199-75-8169"/>
    <s v="A"/>
    <x v="0"/>
    <x v="0"/>
    <s v="Male"/>
    <x v="3"/>
    <n v="15.81"/>
    <n v="10"/>
    <n v="7.9050000000000002"/>
    <n v="166.005"/>
    <x v="43"/>
    <d v="1899-12-30T12:27:00"/>
    <x v="2"/>
    <n v="158.1"/>
    <n v="4.7619047620000003"/>
    <n v="7.9050000000000002"/>
    <x v="17"/>
  </r>
  <r>
    <s v="853-23-2453"/>
    <s v="B"/>
    <x v="2"/>
    <x v="0"/>
    <s v="Male"/>
    <x v="0"/>
    <n v="75.739999999999995"/>
    <n v="4"/>
    <n v="15.148"/>
    <n v="318.108"/>
    <x v="44"/>
    <d v="1899-12-30T14:35:00"/>
    <x v="1"/>
    <n v="302.95999999999998"/>
    <n v="4.7619047620000003"/>
    <n v="15.148"/>
    <x v="29"/>
  </r>
  <r>
    <s v="877-22-3308"/>
    <s v="A"/>
    <x v="0"/>
    <x v="0"/>
    <s v="Male"/>
    <x v="0"/>
    <n v="15.87"/>
    <n v="10"/>
    <n v="7.9349999999999996"/>
    <n v="166.63499999999999"/>
    <x v="45"/>
    <d v="1899-12-30T16:40:00"/>
    <x v="1"/>
    <n v="158.69999999999999"/>
    <n v="4.7619047620000003"/>
    <n v="7.9349999999999996"/>
    <x v="6"/>
  </r>
  <r>
    <s v="838-78-4295"/>
    <s v="C"/>
    <x v="1"/>
    <x v="1"/>
    <s v="Female"/>
    <x v="0"/>
    <n v="33.47"/>
    <n v="2"/>
    <n v="3.347"/>
    <n v="70.287000000000006"/>
    <x v="34"/>
    <d v="1899-12-30T15:43:00"/>
    <x v="0"/>
    <n v="66.94"/>
    <n v="4.7619047620000003"/>
    <n v="3.347"/>
    <x v="24"/>
  </r>
  <r>
    <s v="109-28-2512"/>
    <s v="B"/>
    <x v="2"/>
    <x v="0"/>
    <s v="Female"/>
    <x v="5"/>
    <n v="97.61"/>
    <n v="6"/>
    <n v="29.283000000000001"/>
    <n v="614.94299999999998"/>
    <x v="27"/>
    <d v="1899-12-30T15:01:00"/>
    <x v="0"/>
    <n v="585.66"/>
    <n v="4.7619047620000003"/>
    <n v="29.283000000000001"/>
    <x v="21"/>
  </r>
  <r>
    <s v="232-11-3025"/>
    <s v="A"/>
    <x v="0"/>
    <x v="1"/>
    <s v="Male"/>
    <x v="3"/>
    <n v="78.77"/>
    <n v="10"/>
    <n v="39.384999999999998"/>
    <n v="827.08500000000004"/>
    <x v="46"/>
    <d v="1899-12-30T10:04:00"/>
    <x v="1"/>
    <n v="787.7"/>
    <n v="4.7619047620000003"/>
    <n v="39.384999999999998"/>
    <x v="41"/>
  </r>
  <r>
    <s v="382-03-4532"/>
    <s v="A"/>
    <x v="0"/>
    <x v="0"/>
    <s v="Female"/>
    <x v="0"/>
    <n v="18.329999999999998"/>
    <n v="1"/>
    <n v="0.91649999999999998"/>
    <n v="19.246500000000001"/>
    <x v="30"/>
    <d v="1899-12-30T18:50:00"/>
    <x v="1"/>
    <n v="18.329999999999998"/>
    <n v="4.7619047620000003"/>
    <n v="0.91649999999999998"/>
    <x v="42"/>
  </r>
  <r>
    <s v="393-65-2792"/>
    <s v="C"/>
    <x v="1"/>
    <x v="1"/>
    <s v="Male"/>
    <x v="4"/>
    <n v="89.48"/>
    <n v="10"/>
    <n v="44.74"/>
    <n v="939.54"/>
    <x v="47"/>
    <d v="1899-12-30T12:46:00"/>
    <x v="2"/>
    <n v="894.8"/>
    <n v="4.7619047620000003"/>
    <n v="44.74"/>
    <x v="1"/>
  </r>
  <r>
    <s v="796-12-2025"/>
    <s v="C"/>
    <x v="1"/>
    <x v="1"/>
    <s v="Male"/>
    <x v="5"/>
    <n v="62.12"/>
    <n v="10"/>
    <n v="31.06"/>
    <n v="652.26"/>
    <x v="48"/>
    <d v="1899-12-30T16:19:00"/>
    <x v="1"/>
    <n v="621.20000000000005"/>
    <n v="4.7619047620000003"/>
    <n v="31.06"/>
    <x v="9"/>
  </r>
  <r>
    <s v="510-95-6347"/>
    <s v="B"/>
    <x v="2"/>
    <x v="0"/>
    <s v="Female"/>
    <x v="4"/>
    <n v="48.52"/>
    <n v="3"/>
    <n v="7.2779999999999996"/>
    <n v="152.83799999999999"/>
    <x v="19"/>
    <d v="1899-12-30T18:17:00"/>
    <x v="0"/>
    <n v="145.56"/>
    <n v="4.7619047620000003"/>
    <n v="7.2779999999999996"/>
    <x v="43"/>
  </r>
  <r>
    <s v="841-35-6630"/>
    <s v="C"/>
    <x v="1"/>
    <x v="1"/>
    <s v="Female"/>
    <x v="1"/>
    <n v="75.91"/>
    <n v="6"/>
    <n v="22.773"/>
    <n v="478.233"/>
    <x v="11"/>
    <d v="1899-12-30T18:21:00"/>
    <x v="1"/>
    <n v="455.46"/>
    <n v="4.7619047620000003"/>
    <n v="22.773"/>
    <x v="44"/>
  </r>
  <r>
    <s v="287-21-9091"/>
    <s v="A"/>
    <x v="0"/>
    <x v="1"/>
    <s v="Male"/>
    <x v="2"/>
    <n v="74.67"/>
    <n v="9"/>
    <n v="33.601500000000001"/>
    <n v="705.63149999999996"/>
    <x v="49"/>
    <d v="1899-12-30T10:55:00"/>
    <x v="0"/>
    <n v="672.03"/>
    <n v="4.7619047620000003"/>
    <n v="33.601500000000001"/>
    <x v="45"/>
  </r>
  <r>
    <s v="732-94-0499"/>
    <s v="C"/>
    <x v="1"/>
    <x v="1"/>
    <s v="Female"/>
    <x v="1"/>
    <n v="41.65"/>
    <n v="10"/>
    <n v="20.824999999999999"/>
    <n v="437.32499999999999"/>
    <x v="50"/>
    <d v="1899-12-30T17:04:00"/>
    <x v="2"/>
    <n v="416.5"/>
    <n v="4.7619047620000003"/>
    <n v="20.824999999999999"/>
    <x v="38"/>
  </r>
  <r>
    <s v="263-10-3913"/>
    <s v="C"/>
    <x v="1"/>
    <x v="0"/>
    <s v="Male"/>
    <x v="5"/>
    <n v="49.04"/>
    <n v="9"/>
    <n v="22.068000000000001"/>
    <n v="463.428"/>
    <x v="51"/>
    <d v="1899-12-30T14:20:00"/>
    <x v="2"/>
    <n v="441.36"/>
    <n v="4.7619047620000003"/>
    <n v="22.068000000000001"/>
    <x v="17"/>
  </r>
  <r>
    <s v="381-20-0914"/>
    <s v="A"/>
    <x v="0"/>
    <x v="0"/>
    <s v="Female"/>
    <x v="5"/>
    <n v="20.010000000000002"/>
    <n v="9"/>
    <n v="9.0045000000000002"/>
    <n v="189.09450000000001"/>
    <x v="52"/>
    <d v="1899-12-30T15:48:00"/>
    <x v="2"/>
    <n v="180.09"/>
    <n v="4.7619047620000003"/>
    <n v="9.0045000000000002"/>
    <x v="14"/>
  </r>
  <r>
    <s v="829-49-1914"/>
    <s v="C"/>
    <x v="1"/>
    <x v="0"/>
    <s v="Female"/>
    <x v="4"/>
    <n v="78.31"/>
    <n v="10"/>
    <n v="39.155000000000001"/>
    <n v="822.255"/>
    <x v="19"/>
    <d v="1899-12-30T16:24:00"/>
    <x v="0"/>
    <n v="783.1"/>
    <n v="4.7619047620000003"/>
    <n v="39.155000000000001"/>
    <x v="37"/>
  </r>
  <r>
    <s v="756-01-7507"/>
    <s v="C"/>
    <x v="1"/>
    <x v="1"/>
    <s v="Female"/>
    <x v="0"/>
    <n v="20.38"/>
    <n v="5"/>
    <n v="5.0949999999999998"/>
    <n v="106.995"/>
    <x v="49"/>
    <d v="1899-12-30T18:56:00"/>
    <x v="1"/>
    <n v="101.9"/>
    <n v="4.7619047620000003"/>
    <n v="5.0949999999999998"/>
    <x v="22"/>
  </r>
  <r>
    <s v="870-72-4431"/>
    <s v="C"/>
    <x v="1"/>
    <x v="1"/>
    <s v="Female"/>
    <x v="0"/>
    <n v="99.19"/>
    <n v="6"/>
    <n v="29.757000000000001"/>
    <n v="624.89700000000005"/>
    <x v="18"/>
    <d v="1899-12-30T14:42:00"/>
    <x v="2"/>
    <n v="595.14"/>
    <n v="4.7619047620000003"/>
    <n v="29.757000000000001"/>
    <x v="46"/>
  </r>
  <r>
    <s v="847-38-7188"/>
    <s v="B"/>
    <x v="2"/>
    <x v="1"/>
    <s v="Female"/>
    <x v="4"/>
    <n v="96.68"/>
    <n v="3"/>
    <n v="14.502000000000001"/>
    <n v="304.54199999999997"/>
    <x v="53"/>
    <d v="1899-12-30T19:56:00"/>
    <x v="0"/>
    <n v="290.04000000000002"/>
    <n v="4.7619047620000003"/>
    <n v="14.502000000000001"/>
    <x v="41"/>
  </r>
  <r>
    <s v="480-63-2856"/>
    <s v="C"/>
    <x v="1"/>
    <x v="1"/>
    <s v="Male"/>
    <x v="4"/>
    <n v="19.25"/>
    <n v="8"/>
    <n v="7.7"/>
    <n v="161.69999999999999"/>
    <x v="54"/>
    <d v="1899-12-30T18:37:00"/>
    <x v="0"/>
    <n v="154"/>
    <n v="4.7619047620000003"/>
    <n v="7.7"/>
    <x v="37"/>
  </r>
  <r>
    <s v="787-56-0757"/>
    <s v="C"/>
    <x v="1"/>
    <x v="0"/>
    <s v="Female"/>
    <x v="4"/>
    <n v="80.36"/>
    <n v="4"/>
    <n v="16.071999999999999"/>
    <n v="337.512"/>
    <x v="55"/>
    <d v="1899-12-30T18:45:00"/>
    <x v="2"/>
    <n v="321.44"/>
    <n v="4.7619047620000003"/>
    <n v="16.071999999999999"/>
    <x v="47"/>
  </r>
  <r>
    <s v="360-39-5055"/>
    <s v="C"/>
    <x v="1"/>
    <x v="0"/>
    <s v="Male"/>
    <x v="3"/>
    <n v="48.91"/>
    <n v="5"/>
    <n v="12.227499999999999"/>
    <n v="256.77749999999997"/>
    <x v="11"/>
    <d v="1899-12-30T10:17:00"/>
    <x v="1"/>
    <n v="244.55"/>
    <n v="4.7619047620000003"/>
    <n v="12.227499999999999"/>
    <x v="37"/>
  </r>
  <r>
    <s v="730-50-9884"/>
    <s v="C"/>
    <x v="1"/>
    <x v="1"/>
    <s v="Female"/>
    <x v="3"/>
    <n v="83.06"/>
    <n v="7"/>
    <n v="29.071000000000002"/>
    <n v="610.49099999999999"/>
    <x v="19"/>
    <d v="1899-12-30T14:31:00"/>
    <x v="0"/>
    <n v="581.41999999999996"/>
    <n v="4.7619047620000003"/>
    <n v="29.071000000000002"/>
    <x v="43"/>
  </r>
  <r>
    <s v="362-58-8315"/>
    <s v="C"/>
    <x v="1"/>
    <x v="1"/>
    <s v="Male"/>
    <x v="5"/>
    <n v="76.52"/>
    <n v="5"/>
    <n v="19.13"/>
    <n v="401.73"/>
    <x v="5"/>
    <d v="1899-12-30T10:23:00"/>
    <x v="1"/>
    <n v="382.6"/>
    <n v="4.7619047620000003"/>
    <n v="19.13"/>
    <x v="21"/>
  </r>
  <r>
    <s v="633-44-8566"/>
    <s v="A"/>
    <x v="0"/>
    <x v="0"/>
    <s v="Male"/>
    <x v="4"/>
    <n v="49.38"/>
    <n v="7"/>
    <n v="17.283000000000001"/>
    <n v="362.94299999999998"/>
    <x v="39"/>
    <d v="1899-12-30T20:35:00"/>
    <x v="2"/>
    <n v="345.66"/>
    <n v="4.7619047620000003"/>
    <n v="17.283000000000001"/>
    <x v="48"/>
  </r>
  <r>
    <s v="504-35-8843"/>
    <s v="A"/>
    <x v="0"/>
    <x v="1"/>
    <s v="Male"/>
    <x v="3"/>
    <n v="42.47"/>
    <n v="1"/>
    <n v="2.1234999999999999"/>
    <n v="44.593499999999999"/>
    <x v="56"/>
    <d v="1899-12-30T16:57:00"/>
    <x v="1"/>
    <n v="42.47"/>
    <n v="4.7619047620000003"/>
    <n v="2.1234999999999999"/>
    <x v="14"/>
  </r>
  <r>
    <s v="318-68-5053"/>
    <s v="B"/>
    <x v="2"/>
    <x v="1"/>
    <s v="Female"/>
    <x v="0"/>
    <n v="76.989999999999995"/>
    <n v="6"/>
    <n v="23.097000000000001"/>
    <n v="485.03699999999998"/>
    <x v="33"/>
    <d v="1899-12-30T17:55:00"/>
    <x v="1"/>
    <n v="461.94"/>
    <n v="4.7619047620000003"/>
    <n v="23.097000000000001"/>
    <x v="36"/>
  </r>
  <r>
    <s v="565-80-5980"/>
    <s v="C"/>
    <x v="1"/>
    <x v="0"/>
    <s v="Female"/>
    <x v="2"/>
    <n v="47.38"/>
    <n v="4"/>
    <n v="9.4760000000000009"/>
    <n v="198.99600000000001"/>
    <x v="54"/>
    <d v="1899-12-30T10:25:00"/>
    <x v="1"/>
    <n v="189.52"/>
    <n v="4.7619047620000003"/>
    <n v="9.4760000000000009"/>
    <x v="12"/>
  </r>
  <r>
    <s v="225-32-0908"/>
    <s v="C"/>
    <x v="1"/>
    <x v="1"/>
    <s v="Female"/>
    <x v="3"/>
    <n v="44.86"/>
    <n v="10"/>
    <n v="22.43"/>
    <n v="471.03"/>
    <x v="53"/>
    <d v="1899-12-30T19:54:00"/>
    <x v="0"/>
    <n v="448.6"/>
    <n v="4.7619047620000003"/>
    <n v="22.43"/>
    <x v="13"/>
  </r>
  <r>
    <s v="873-51-0671"/>
    <s v="A"/>
    <x v="0"/>
    <x v="0"/>
    <s v="Female"/>
    <x v="3"/>
    <n v="21.98"/>
    <n v="7"/>
    <n v="7.6929999999999996"/>
    <n v="161.553"/>
    <x v="8"/>
    <d v="1899-12-30T16:42:00"/>
    <x v="0"/>
    <n v="153.86000000000001"/>
    <n v="4.7619047620000003"/>
    <n v="7.6929999999999996"/>
    <x v="20"/>
  </r>
  <r>
    <s v="152-08-9985"/>
    <s v="B"/>
    <x v="2"/>
    <x v="0"/>
    <s v="Male"/>
    <x v="0"/>
    <n v="64.36"/>
    <n v="9"/>
    <n v="28.962"/>
    <n v="608.202"/>
    <x v="41"/>
    <d v="1899-12-30T12:09:00"/>
    <x v="2"/>
    <n v="579.24"/>
    <n v="4.7619047620000003"/>
    <n v="28.962"/>
    <x v="17"/>
  </r>
  <r>
    <s v="512-91-0811"/>
    <s v="C"/>
    <x v="1"/>
    <x v="1"/>
    <s v="Male"/>
    <x v="0"/>
    <n v="89.75"/>
    <n v="1"/>
    <n v="4.4874999999999998"/>
    <n v="94.237499999999997"/>
    <x v="10"/>
    <d v="1899-12-30T20:05:00"/>
    <x v="2"/>
    <n v="89.75"/>
    <n v="4.7619047620000003"/>
    <n v="4.4874999999999998"/>
    <x v="37"/>
  </r>
  <r>
    <s v="594-34-4444"/>
    <s v="A"/>
    <x v="0"/>
    <x v="1"/>
    <s v="Male"/>
    <x v="1"/>
    <n v="97.16"/>
    <n v="1"/>
    <n v="4.8579999999999997"/>
    <n v="102.018"/>
    <x v="1"/>
    <d v="1899-12-30T20:38:00"/>
    <x v="0"/>
    <n v="97.16"/>
    <n v="4.7619047620000003"/>
    <n v="4.8579999999999997"/>
    <x v="8"/>
  </r>
  <r>
    <s v="766-85-7061"/>
    <s v="B"/>
    <x v="2"/>
    <x v="1"/>
    <s v="Male"/>
    <x v="0"/>
    <n v="87.87"/>
    <n v="10"/>
    <n v="43.935000000000002"/>
    <n v="922.63499999999999"/>
    <x v="14"/>
    <d v="1899-12-30T10:25:00"/>
    <x v="0"/>
    <n v="878.7"/>
    <n v="4.7619047620000003"/>
    <n v="43.935000000000002"/>
    <x v="20"/>
  </r>
  <r>
    <s v="871-39-9221"/>
    <s v="C"/>
    <x v="1"/>
    <x v="1"/>
    <s v="Female"/>
    <x v="1"/>
    <n v="12.45"/>
    <n v="6"/>
    <n v="3.7349999999999999"/>
    <n v="78.435000000000002"/>
    <x v="57"/>
    <d v="1899-12-30T13:11:00"/>
    <x v="1"/>
    <n v="74.7"/>
    <n v="4.7619047620000003"/>
    <n v="3.7349999999999999"/>
    <x v="5"/>
  </r>
  <r>
    <s v="865-92-6136"/>
    <s v="A"/>
    <x v="0"/>
    <x v="1"/>
    <s v="Male"/>
    <x v="4"/>
    <n v="52.75"/>
    <n v="3"/>
    <n v="7.9124999999999996"/>
    <n v="166.16249999999999"/>
    <x v="28"/>
    <d v="1899-12-30T10:16:00"/>
    <x v="0"/>
    <n v="158.25"/>
    <n v="4.7619047620000003"/>
    <n v="7.9124999999999996"/>
    <x v="39"/>
  </r>
  <r>
    <s v="733-01-9107"/>
    <s v="B"/>
    <x v="2"/>
    <x v="1"/>
    <s v="Male"/>
    <x v="2"/>
    <n v="82.7"/>
    <n v="6"/>
    <n v="24.81"/>
    <n v="521.01"/>
    <x v="19"/>
    <d v="1899-12-30T18:14:00"/>
    <x v="1"/>
    <n v="496.2"/>
    <n v="4.7619047620000003"/>
    <n v="24.81"/>
    <x v="2"/>
  </r>
  <r>
    <s v="163-56-7055"/>
    <s v="C"/>
    <x v="1"/>
    <x v="0"/>
    <s v="Male"/>
    <x v="5"/>
    <n v="48.71"/>
    <n v="1"/>
    <n v="2.4355000000000002"/>
    <n v="51.145499999999998"/>
    <x v="58"/>
    <d v="1899-12-30T19:20:00"/>
    <x v="1"/>
    <n v="48.71"/>
    <n v="4.7619047620000003"/>
    <n v="2.4355000000000002"/>
    <x v="5"/>
  </r>
  <r>
    <s v="189-98-2939"/>
    <s v="C"/>
    <x v="1"/>
    <x v="1"/>
    <s v="Male"/>
    <x v="5"/>
    <n v="78.55"/>
    <n v="9"/>
    <n v="35.347499999999997"/>
    <n v="742.29750000000001"/>
    <x v="59"/>
    <d v="1899-12-30T13:22:00"/>
    <x v="1"/>
    <n v="706.95"/>
    <n v="4.7619047620000003"/>
    <n v="35.347499999999997"/>
    <x v="8"/>
  </r>
  <r>
    <s v="551-21-3069"/>
    <s v="C"/>
    <x v="1"/>
    <x v="1"/>
    <s v="Female"/>
    <x v="1"/>
    <n v="23.07"/>
    <n v="9"/>
    <n v="10.381500000000001"/>
    <n v="218.01150000000001"/>
    <x v="60"/>
    <d v="1899-12-30T11:27:00"/>
    <x v="1"/>
    <n v="207.63"/>
    <n v="4.7619047620000003"/>
    <n v="10.381500000000001"/>
    <x v="49"/>
  </r>
  <r>
    <s v="212-62-1842"/>
    <s v="A"/>
    <x v="0"/>
    <x v="1"/>
    <s v="Male"/>
    <x v="4"/>
    <n v="58.26"/>
    <n v="6"/>
    <n v="17.478000000000002"/>
    <n v="367.03800000000001"/>
    <x v="61"/>
    <d v="1899-12-30T16:44:00"/>
    <x v="1"/>
    <n v="349.56"/>
    <n v="4.7619047620000003"/>
    <n v="17.478000000000002"/>
    <x v="21"/>
  </r>
  <r>
    <s v="716-39-1409"/>
    <s v="B"/>
    <x v="2"/>
    <x v="1"/>
    <s v="Male"/>
    <x v="0"/>
    <n v="30.35"/>
    <n v="7"/>
    <n v="10.6225"/>
    <n v="223.07249999999999"/>
    <x v="35"/>
    <d v="1899-12-30T18:19:00"/>
    <x v="1"/>
    <n v="212.45"/>
    <n v="4.7619047620000003"/>
    <n v="10.6225"/>
    <x v="7"/>
  </r>
  <r>
    <s v="704-48-3927"/>
    <s v="A"/>
    <x v="0"/>
    <x v="0"/>
    <s v="Male"/>
    <x v="1"/>
    <n v="88.67"/>
    <n v="10"/>
    <n v="44.335000000000001"/>
    <n v="931.03499999999997"/>
    <x v="52"/>
    <d v="1899-12-30T14:50:00"/>
    <x v="0"/>
    <n v="886.7"/>
    <n v="4.7619047620000003"/>
    <n v="44.335000000000001"/>
    <x v="48"/>
  </r>
  <r>
    <s v="628-34-3388"/>
    <s v="C"/>
    <x v="1"/>
    <x v="1"/>
    <s v="Male"/>
    <x v="5"/>
    <n v="27.38"/>
    <n v="6"/>
    <n v="8.2140000000000004"/>
    <n v="172.494"/>
    <x v="0"/>
    <d v="1899-12-30T20:54:00"/>
    <x v="2"/>
    <n v="164.28"/>
    <n v="4.7619047620000003"/>
    <n v="8.2140000000000004"/>
    <x v="30"/>
  </r>
  <r>
    <s v="630-74-5166"/>
    <s v="A"/>
    <x v="0"/>
    <x v="1"/>
    <s v="Male"/>
    <x v="3"/>
    <n v="62.13"/>
    <n v="6"/>
    <n v="18.638999999999999"/>
    <n v="391.41899999999998"/>
    <x v="23"/>
    <d v="1899-12-30T20:19:00"/>
    <x v="1"/>
    <n v="372.78"/>
    <n v="4.7619047620000003"/>
    <n v="18.638999999999999"/>
    <x v="2"/>
  </r>
  <r>
    <s v="588-01-7461"/>
    <s v="C"/>
    <x v="1"/>
    <x v="1"/>
    <s v="Female"/>
    <x v="4"/>
    <n v="33.979999999999997"/>
    <n v="9"/>
    <n v="15.291"/>
    <n v="321.11099999999999"/>
    <x v="62"/>
    <d v="1899-12-30T10:43:00"/>
    <x v="1"/>
    <n v="305.82"/>
    <n v="4.7619047620000003"/>
    <n v="15.291"/>
    <x v="50"/>
  </r>
  <r>
    <s v="861-77-0145"/>
    <s v="C"/>
    <x v="1"/>
    <x v="0"/>
    <s v="Male"/>
    <x v="1"/>
    <n v="81.97"/>
    <n v="10"/>
    <n v="40.984999999999999"/>
    <n v="860.68499999999995"/>
    <x v="2"/>
    <d v="1899-12-30T14:30:00"/>
    <x v="1"/>
    <n v="819.7"/>
    <n v="4.7619047620000003"/>
    <n v="40.984999999999999"/>
    <x v="51"/>
  </r>
  <r>
    <s v="479-26-8945"/>
    <s v="B"/>
    <x v="2"/>
    <x v="0"/>
    <s v="Female"/>
    <x v="3"/>
    <n v="16.489999999999998"/>
    <n v="2"/>
    <n v="1.649"/>
    <n v="34.628999999999998"/>
    <x v="63"/>
    <d v="1899-12-30T11:32:00"/>
    <x v="0"/>
    <n v="32.979999999999997"/>
    <n v="4.7619047620000003"/>
    <n v="1.649"/>
    <x v="15"/>
  </r>
  <r>
    <s v="210-67-5886"/>
    <s v="C"/>
    <x v="1"/>
    <x v="0"/>
    <s v="Female"/>
    <x v="0"/>
    <n v="98.21"/>
    <n v="3"/>
    <n v="14.7315"/>
    <n v="309.36149999999998"/>
    <x v="63"/>
    <d v="1899-12-30T10:41:00"/>
    <x v="2"/>
    <n v="294.63"/>
    <n v="4.7619047620000003"/>
    <n v="14.7315"/>
    <x v="52"/>
  </r>
  <r>
    <s v="227-78-1148"/>
    <s v="B"/>
    <x v="2"/>
    <x v="1"/>
    <s v="Female"/>
    <x v="5"/>
    <n v="72.84"/>
    <n v="7"/>
    <n v="25.494"/>
    <n v="535.37400000000002"/>
    <x v="42"/>
    <d v="1899-12-30T12:44:00"/>
    <x v="1"/>
    <n v="509.88"/>
    <n v="4.7619047620000003"/>
    <n v="25.494"/>
    <x v="3"/>
  </r>
  <r>
    <s v="645-44-1170"/>
    <s v="A"/>
    <x v="0"/>
    <x v="0"/>
    <s v="Male"/>
    <x v="2"/>
    <n v="58.07"/>
    <n v="9"/>
    <n v="26.131499999999999"/>
    <n v="548.76149999999996"/>
    <x v="64"/>
    <d v="1899-12-30T20:07:00"/>
    <x v="0"/>
    <n v="522.63"/>
    <n v="4.7619047620000003"/>
    <n v="26.131499999999999"/>
    <x v="42"/>
  </r>
  <r>
    <s v="237-01-6122"/>
    <s v="C"/>
    <x v="1"/>
    <x v="0"/>
    <s v="Female"/>
    <x v="2"/>
    <n v="80.790000000000006"/>
    <n v="9"/>
    <n v="36.355499999999999"/>
    <n v="763.46550000000002"/>
    <x v="60"/>
    <d v="1899-12-30T20:31:00"/>
    <x v="2"/>
    <n v="727.11"/>
    <n v="4.7619047620000003"/>
    <n v="36.355499999999999"/>
    <x v="33"/>
  </r>
  <r>
    <s v="225-98-1496"/>
    <s v="C"/>
    <x v="1"/>
    <x v="1"/>
    <s v="Female"/>
    <x v="5"/>
    <n v="27.02"/>
    <n v="3"/>
    <n v="4.0529999999999999"/>
    <n v="85.113"/>
    <x v="22"/>
    <d v="1899-12-30T13:01:00"/>
    <x v="2"/>
    <n v="81.06"/>
    <n v="4.7619047620000003"/>
    <n v="4.0529999999999999"/>
    <x v="12"/>
  </r>
  <r>
    <s v="291-32-1427"/>
    <s v="B"/>
    <x v="2"/>
    <x v="0"/>
    <s v="Male"/>
    <x v="5"/>
    <n v="21.94"/>
    <n v="5"/>
    <n v="5.4850000000000003"/>
    <n v="115.185"/>
    <x v="19"/>
    <d v="1899-12-30T12:29:00"/>
    <x v="0"/>
    <n v="109.7"/>
    <n v="4.7619047620000003"/>
    <n v="5.4850000000000003"/>
    <x v="4"/>
  </r>
  <r>
    <s v="659-65-8956"/>
    <s v="B"/>
    <x v="2"/>
    <x v="0"/>
    <s v="Male"/>
    <x v="5"/>
    <n v="51.36"/>
    <n v="1"/>
    <n v="2.5680000000000001"/>
    <n v="53.927999999999997"/>
    <x v="65"/>
    <d v="1899-12-30T15:26:00"/>
    <x v="0"/>
    <n v="51.36"/>
    <n v="4.7619047620000003"/>
    <n v="2.5680000000000001"/>
    <x v="53"/>
  </r>
  <r>
    <s v="642-32-2990"/>
    <s v="A"/>
    <x v="0"/>
    <x v="1"/>
    <s v="Female"/>
    <x v="4"/>
    <n v="10.96"/>
    <n v="10"/>
    <n v="5.48"/>
    <n v="115.08"/>
    <x v="30"/>
    <d v="1899-12-30T20:48:00"/>
    <x v="0"/>
    <n v="109.6"/>
    <n v="4.7619047620000003"/>
    <n v="5.48"/>
    <x v="22"/>
  </r>
  <r>
    <s v="378-24-2715"/>
    <s v="B"/>
    <x v="2"/>
    <x v="1"/>
    <s v="Male"/>
    <x v="2"/>
    <n v="53.44"/>
    <n v="2"/>
    <n v="5.3440000000000003"/>
    <n v="112.224"/>
    <x v="40"/>
    <d v="1899-12-30T20:38:00"/>
    <x v="0"/>
    <n v="106.88"/>
    <n v="4.7619047620000003"/>
    <n v="5.3440000000000003"/>
    <x v="5"/>
  </r>
  <r>
    <s v="638-60-7125"/>
    <s v="A"/>
    <x v="0"/>
    <x v="1"/>
    <s v="Female"/>
    <x v="1"/>
    <n v="99.56"/>
    <n v="8"/>
    <n v="39.823999999999998"/>
    <n v="836.30399999999997"/>
    <x v="44"/>
    <d v="1899-12-30T17:03:00"/>
    <x v="2"/>
    <n v="796.48"/>
    <n v="4.7619047620000003"/>
    <n v="39.823999999999998"/>
    <x v="53"/>
  </r>
  <r>
    <s v="659-36-1684"/>
    <s v="C"/>
    <x v="1"/>
    <x v="0"/>
    <s v="Male"/>
    <x v="3"/>
    <n v="57.12"/>
    <n v="7"/>
    <n v="19.992000000000001"/>
    <n v="419.83199999999999"/>
    <x v="52"/>
    <d v="1899-12-30T12:02:00"/>
    <x v="2"/>
    <n v="399.84"/>
    <n v="4.7619047620000003"/>
    <n v="19.992000000000001"/>
    <x v="35"/>
  </r>
  <r>
    <s v="219-22-9386"/>
    <s v="B"/>
    <x v="2"/>
    <x v="0"/>
    <s v="Male"/>
    <x v="3"/>
    <n v="99.96"/>
    <n v="9"/>
    <n v="44.981999999999999"/>
    <n v="944.62199999999996"/>
    <x v="11"/>
    <d v="1899-12-30T17:26:00"/>
    <x v="2"/>
    <n v="899.64"/>
    <n v="4.7619047620000003"/>
    <n v="44.981999999999999"/>
    <x v="50"/>
  </r>
  <r>
    <s v="336-78-2147"/>
    <s v="C"/>
    <x v="1"/>
    <x v="0"/>
    <s v="Male"/>
    <x v="2"/>
    <n v="63.91"/>
    <n v="8"/>
    <n v="25.564"/>
    <n v="536.84400000000005"/>
    <x v="45"/>
    <d v="1899-12-30T19:52:00"/>
    <x v="2"/>
    <n v="511.28"/>
    <n v="4.7619047620000003"/>
    <n v="25.564"/>
    <x v="15"/>
  </r>
  <r>
    <s v="268-27-6179"/>
    <s v="B"/>
    <x v="2"/>
    <x v="0"/>
    <s v="Female"/>
    <x v="5"/>
    <n v="56.47"/>
    <n v="8"/>
    <n v="22.588000000000001"/>
    <n v="474.34800000000001"/>
    <x v="11"/>
    <d v="1899-12-30T14:57:00"/>
    <x v="0"/>
    <n v="451.76"/>
    <n v="4.7619047620000003"/>
    <n v="22.588000000000001"/>
    <x v="48"/>
  </r>
  <r>
    <s v="668-90-8900"/>
    <s v="A"/>
    <x v="0"/>
    <x v="1"/>
    <s v="Female"/>
    <x v="2"/>
    <n v="93.69"/>
    <n v="7"/>
    <n v="32.791499999999999"/>
    <n v="688.62149999999997"/>
    <x v="24"/>
    <d v="1899-12-30T18:44:00"/>
    <x v="2"/>
    <n v="655.83"/>
    <n v="4.7619047620000003"/>
    <n v="32.791499999999999"/>
    <x v="10"/>
  </r>
  <r>
    <s v="870-54-3162"/>
    <s v="A"/>
    <x v="0"/>
    <x v="1"/>
    <s v="Female"/>
    <x v="3"/>
    <n v="32.25"/>
    <n v="5"/>
    <n v="8.0625"/>
    <n v="169.3125"/>
    <x v="3"/>
    <d v="1899-12-30T13:26:00"/>
    <x v="1"/>
    <n v="161.25"/>
    <n v="4.7619047620000003"/>
    <n v="8.0625"/>
    <x v="54"/>
  </r>
  <r>
    <s v="189-08-9157"/>
    <s v="C"/>
    <x v="1"/>
    <x v="1"/>
    <s v="Female"/>
    <x v="5"/>
    <n v="31.73"/>
    <n v="9"/>
    <n v="14.278499999999999"/>
    <n v="299.8485"/>
    <x v="66"/>
    <d v="1899-12-30T16:17:00"/>
    <x v="2"/>
    <n v="285.57"/>
    <n v="4.7619047620000003"/>
    <n v="14.278499999999999"/>
    <x v="9"/>
  </r>
  <r>
    <s v="663-86-9076"/>
    <s v="C"/>
    <x v="1"/>
    <x v="0"/>
    <s v="Female"/>
    <x v="4"/>
    <n v="68.540000000000006"/>
    <n v="8"/>
    <n v="27.416"/>
    <n v="575.73599999999999"/>
    <x v="66"/>
    <d v="1899-12-30T15:57:00"/>
    <x v="0"/>
    <n v="548.32000000000005"/>
    <n v="4.7619047620000003"/>
    <n v="27.416"/>
    <x v="23"/>
  </r>
  <r>
    <s v="549-84-7482"/>
    <s v="B"/>
    <x v="2"/>
    <x v="1"/>
    <s v="Female"/>
    <x v="3"/>
    <n v="90.28"/>
    <n v="9"/>
    <n v="40.625999999999998"/>
    <n v="853.14599999999996"/>
    <x v="4"/>
    <d v="1899-12-30T11:15:00"/>
    <x v="0"/>
    <n v="812.52"/>
    <n v="4.7619047620000003"/>
    <n v="40.625999999999998"/>
    <x v="8"/>
  </r>
  <r>
    <s v="191-10-6171"/>
    <s v="B"/>
    <x v="2"/>
    <x v="1"/>
    <s v="Female"/>
    <x v="5"/>
    <n v="39.619999999999997"/>
    <n v="7"/>
    <n v="13.867000000000001"/>
    <n v="291.20699999999999"/>
    <x v="25"/>
    <d v="1899-12-30T13:18:00"/>
    <x v="1"/>
    <n v="277.33999999999997"/>
    <n v="4.7619047620000003"/>
    <n v="13.867000000000001"/>
    <x v="26"/>
  </r>
  <r>
    <s v="802-70-5316"/>
    <s v="A"/>
    <x v="0"/>
    <x v="0"/>
    <s v="Female"/>
    <x v="3"/>
    <n v="92.13"/>
    <n v="6"/>
    <n v="27.638999999999999"/>
    <n v="580.41899999999998"/>
    <x v="43"/>
    <d v="1899-12-30T20:34:00"/>
    <x v="1"/>
    <n v="552.78"/>
    <n v="4.7619047620000003"/>
    <n v="27.638999999999999"/>
    <x v="47"/>
  </r>
  <r>
    <s v="695-51-0018"/>
    <s v="B"/>
    <x v="2"/>
    <x v="1"/>
    <s v="Female"/>
    <x v="3"/>
    <n v="34.840000000000003"/>
    <n v="4"/>
    <n v="6.968"/>
    <n v="146.328"/>
    <x v="34"/>
    <d v="1899-12-30T18:36:00"/>
    <x v="1"/>
    <n v="139.36000000000001"/>
    <n v="4.7619047620000003"/>
    <n v="6.968"/>
    <x v="2"/>
  </r>
  <r>
    <s v="590-83-4591"/>
    <s v="B"/>
    <x v="2"/>
    <x v="0"/>
    <s v="Male"/>
    <x v="1"/>
    <n v="87.45"/>
    <n v="6"/>
    <n v="26.234999999999999"/>
    <n v="550.93499999999995"/>
    <x v="21"/>
    <d v="1899-12-30T14:40:00"/>
    <x v="2"/>
    <n v="524.70000000000005"/>
    <n v="4.7619047620000003"/>
    <n v="26.234999999999999"/>
    <x v="55"/>
  </r>
  <r>
    <s v="483-71-1164"/>
    <s v="C"/>
    <x v="1"/>
    <x v="1"/>
    <s v="Female"/>
    <x v="0"/>
    <n v="81.3"/>
    <n v="6"/>
    <n v="24.39"/>
    <n v="512.19000000000005"/>
    <x v="1"/>
    <d v="1899-12-30T16:43:00"/>
    <x v="0"/>
    <n v="487.8"/>
    <n v="4.7619047620000003"/>
    <n v="24.39"/>
    <x v="4"/>
  </r>
  <r>
    <s v="597-78-7908"/>
    <s v="C"/>
    <x v="1"/>
    <x v="1"/>
    <s v="Male"/>
    <x v="5"/>
    <n v="90.22"/>
    <n v="3"/>
    <n v="13.532999999999999"/>
    <n v="284.19299999999998"/>
    <x v="67"/>
    <d v="1899-12-30T19:39:00"/>
    <x v="1"/>
    <n v="270.66000000000003"/>
    <n v="4.7619047620000003"/>
    <n v="13.532999999999999"/>
    <x v="56"/>
  </r>
  <r>
    <s v="700-81-1757"/>
    <s v="A"/>
    <x v="0"/>
    <x v="1"/>
    <s v="Female"/>
    <x v="1"/>
    <n v="26.31"/>
    <n v="5"/>
    <n v="6.5774999999999997"/>
    <n v="138.1275"/>
    <x v="68"/>
    <d v="1899-12-30T20:59:00"/>
    <x v="2"/>
    <n v="131.55000000000001"/>
    <n v="4.7619047620000003"/>
    <n v="6.5774999999999997"/>
    <x v="55"/>
  </r>
  <r>
    <s v="354-39-5160"/>
    <s v="A"/>
    <x v="0"/>
    <x v="0"/>
    <s v="Female"/>
    <x v="2"/>
    <n v="34.42"/>
    <n v="6"/>
    <n v="10.326000000000001"/>
    <n v="216.846"/>
    <x v="67"/>
    <d v="1899-12-30T15:39:00"/>
    <x v="1"/>
    <n v="206.52"/>
    <n v="4.7619047620000003"/>
    <n v="10.326000000000001"/>
    <x v="57"/>
  </r>
  <r>
    <s v="241-72-9525"/>
    <s v="B"/>
    <x v="2"/>
    <x v="1"/>
    <s v="Male"/>
    <x v="3"/>
    <n v="51.91"/>
    <n v="10"/>
    <n v="25.954999999999998"/>
    <n v="545.05499999999995"/>
    <x v="69"/>
    <d v="1899-12-30T12:21:00"/>
    <x v="1"/>
    <n v="519.1"/>
    <n v="4.7619047620000003"/>
    <n v="25.954999999999998"/>
    <x v="13"/>
  </r>
  <r>
    <s v="575-30-8091"/>
    <s v="A"/>
    <x v="0"/>
    <x v="1"/>
    <s v="Male"/>
    <x v="3"/>
    <n v="72.5"/>
    <n v="8"/>
    <n v="29"/>
    <n v="609"/>
    <x v="32"/>
    <d v="1899-12-30T19:25:00"/>
    <x v="0"/>
    <n v="580"/>
    <n v="4.7619047620000003"/>
    <n v="29"/>
    <x v="51"/>
  </r>
  <r>
    <s v="731-81-9469"/>
    <s v="C"/>
    <x v="1"/>
    <x v="0"/>
    <s v="Female"/>
    <x v="3"/>
    <n v="89.8"/>
    <n v="10"/>
    <n v="44.9"/>
    <n v="942.9"/>
    <x v="54"/>
    <d v="1899-12-30T13:00:00"/>
    <x v="2"/>
    <n v="898"/>
    <n v="4.7619047620000003"/>
    <n v="44.9"/>
    <x v="38"/>
  </r>
  <r>
    <s v="280-17-4359"/>
    <s v="C"/>
    <x v="1"/>
    <x v="0"/>
    <s v="Male"/>
    <x v="0"/>
    <n v="90.5"/>
    <n v="10"/>
    <n v="45.25"/>
    <n v="950.25"/>
    <x v="25"/>
    <d v="1899-12-30T13:48:00"/>
    <x v="1"/>
    <n v="905"/>
    <n v="4.7619047620000003"/>
    <n v="45.25"/>
    <x v="34"/>
  </r>
  <r>
    <s v="338-65-2210"/>
    <s v="C"/>
    <x v="1"/>
    <x v="0"/>
    <s v="Female"/>
    <x v="0"/>
    <n v="68.599999999999994"/>
    <n v="10"/>
    <n v="34.299999999999997"/>
    <n v="720.3"/>
    <x v="63"/>
    <d v="1899-12-30T19:57:00"/>
    <x v="1"/>
    <n v="686"/>
    <n v="4.7619047620000003"/>
    <n v="34.299999999999997"/>
    <x v="0"/>
  </r>
  <r>
    <s v="488-25-4221"/>
    <s v="C"/>
    <x v="1"/>
    <x v="0"/>
    <s v="Female"/>
    <x v="4"/>
    <n v="30.41"/>
    <n v="1"/>
    <n v="1.5205"/>
    <n v="31.930499999999999"/>
    <x v="70"/>
    <d v="1899-12-30T10:36:00"/>
    <x v="2"/>
    <n v="30.41"/>
    <n v="4.7619047620000003"/>
    <n v="1.5205"/>
    <x v="3"/>
  </r>
  <r>
    <s v="239-10-7476"/>
    <s v="A"/>
    <x v="0"/>
    <x v="1"/>
    <s v="Female"/>
    <x v="2"/>
    <n v="77.95"/>
    <n v="6"/>
    <n v="23.385000000000002"/>
    <n v="491.08499999999998"/>
    <x v="18"/>
    <d v="1899-12-30T16:37:00"/>
    <x v="0"/>
    <n v="467.7"/>
    <n v="4.7619047620000003"/>
    <n v="23.385000000000002"/>
    <x v="7"/>
  </r>
  <r>
    <s v="458-41-1477"/>
    <s v="C"/>
    <x v="1"/>
    <x v="1"/>
    <s v="Female"/>
    <x v="0"/>
    <n v="46.26"/>
    <n v="6"/>
    <n v="13.878"/>
    <n v="291.43799999999999"/>
    <x v="1"/>
    <d v="1899-12-30T17:11:00"/>
    <x v="2"/>
    <n v="277.56"/>
    <n v="4.7619047620000003"/>
    <n v="13.878"/>
    <x v="33"/>
  </r>
  <r>
    <s v="685-64-1609"/>
    <s v="A"/>
    <x v="0"/>
    <x v="0"/>
    <s v="Female"/>
    <x v="5"/>
    <n v="30.14"/>
    <n v="10"/>
    <n v="15.07"/>
    <n v="316.47000000000003"/>
    <x v="34"/>
    <d v="1899-12-30T12:28:00"/>
    <x v="0"/>
    <n v="301.39999999999998"/>
    <n v="4.7619047620000003"/>
    <n v="15.07"/>
    <x v="51"/>
  </r>
  <r>
    <s v="568-90-5112"/>
    <s v="C"/>
    <x v="1"/>
    <x v="1"/>
    <s v="Male"/>
    <x v="0"/>
    <n v="66.14"/>
    <n v="4"/>
    <n v="13.228"/>
    <n v="277.78800000000001"/>
    <x v="35"/>
    <d v="1899-12-30T12:46:00"/>
    <x v="2"/>
    <n v="264.56"/>
    <n v="4.7619047620000003"/>
    <n v="13.228"/>
    <x v="32"/>
  </r>
  <r>
    <s v="262-47-2794"/>
    <s v="B"/>
    <x v="2"/>
    <x v="0"/>
    <s v="Male"/>
    <x v="2"/>
    <n v="71.86"/>
    <n v="8"/>
    <n v="28.744"/>
    <n v="603.62400000000002"/>
    <x v="43"/>
    <d v="1899-12-30T15:07:00"/>
    <x v="2"/>
    <n v="574.88"/>
    <n v="4.7619047620000003"/>
    <n v="28.744"/>
    <x v="56"/>
  </r>
  <r>
    <s v="238-49-0436"/>
    <s v="A"/>
    <x v="0"/>
    <x v="1"/>
    <s v="Male"/>
    <x v="0"/>
    <n v="32.46"/>
    <n v="8"/>
    <n v="12.984"/>
    <n v="272.66399999999999"/>
    <x v="39"/>
    <d v="1899-12-30T13:48:00"/>
    <x v="2"/>
    <n v="259.68"/>
    <n v="4.7619047620000003"/>
    <n v="12.984"/>
    <x v="49"/>
  </r>
  <r>
    <s v="608-96-3517"/>
    <s v="B"/>
    <x v="2"/>
    <x v="0"/>
    <s v="Female"/>
    <x v="5"/>
    <n v="91.54"/>
    <n v="4"/>
    <n v="18.308"/>
    <n v="384.46800000000002"/>
    <x v="28"/>
    <d v="1899-12-30T19:20:00"/>
    <x v="2"/>
    <n v="366.16"/>
    <n v="4.7619047620000003"/>
    <n v="18.308"/>
    <x v="19"/>
  </r>
  <r>
    <s v="584-86-7256"/>
    <s v="C"/>
    <x v="1"/>
    <x v="0"/>
    <s v="Male"/>
    <x v="3"/>
    <n v="34.56"/>
    <n v="7"/>
    <n v="12.096"/>
    <n v="254.01599999999999"/>
    <x v="16"/>
    <d v="1899-12-30T16:07:00"/>
    <x v="2"/>
    <n v="241.92"/>
    <n v="4.7619047620000003"/>
    <n v="12.096"/>
    <x v="48"/>
  </r>
  <r>
    <s v="746-94-0204"/>
    <s v="A"/>
    <x v="0"/>
    <x v="1"/>
    <s v="Male"/>
    <x v="5"/>
    <n v="83.24"/>
    <n v="9"/>
    <n v="37.457999999999998"/>
    <n v="786.61800000000005"/>
    <x v="71"/>
    <d v="1899-12-30T11:56:00"/>
    <x v="2"/>
    <n v="749.16"/>
    <n v="4.7619047620000003"/>
    <n v="37.457999999999998"/>
    <x v="2"/>
  </r>
  <r>
    <s v="214-17-6927"/>
    <s v="C"/>
    <x v="1"/>
    <x v="1"/>
    <s v="Female"/>
    <x v="4"/>
    <n v="16.48"/>
    <n v="6"/>
    <n v="4.944"/>
    <n v="103.824"/>
    <x v="13"/>
    <d v="1899-12-30T18:23:00"/>
    <x v="0"/>
    <n v="98.88"/>
    <n v="4.7619047620000003"/>
    <n v="4.944"/>
    <x v="21"/>
  </r>
  <r>
    <s v="400-89-4171"/>
    <s v="C"/>
    <x v="1"/>
    <x v="1"/>
    <s v="Female"/>
    <x v="3"/>
    <n v="80.97"/>
    <n v="8"/>
    <n v="32.387999999999998"/>
    <n v="680.14800000000002"/>
    <x v="26"/>
    <d v="1899-12-30T13:05:00"/>
    <x v="1"/>
    <n v="647.76"/>
    <n v="4.7619047620000003"/>
    <n v="32.387999999999998"/>
    <x v="39"/>
  </r>
  <r>
    <s v="782-95-9291"/>
    <s v="A"/>
    <x v="0"/>
    <x v="0"/>
    <s v="Male"/>
    <x v="4"/>
    <n v="92.29"/>
    <n v="5"/>
    <n v="23.072500000000002"/>
    <n v="484.52249999999998"/>
    <x v="9"/>
    <d v="1899-12-30T15:55:00"/>
    <x v="2"/>
    <n v="461.45"/>
    <n v="4.7619047620000003"/>
    <n v="23.072500000000002"/>
    <x v="54"/>
  </r>
  <r>
    <s v="279-74-2924"/>
    <s v="B"/>
    <x v="2"/>
    <x v="0"/>
    <s v="Male"/>
    <x v="1"/>
    <n v="72.17"/>
    <n v="1"/>
    <n v="3.6084999999999998"/>
    <n v="75.778499999999994"/>
    <x v="72"/>
    <d v="1899-12-30T19:40:00"/>
    <x v="1"/>
    <n v="72.17"/>
    <n v="4.7619047620000003"/>
    <n v="3.6084999999999998"/>
    <x v="36"/>
  </r>
  <r>
    <s v="307-85-2293"/>
    <s v="B"/>
    <x v="2"/>
    <x v="1"/>
    <s v="Male"/>
    <x v="2"/>
    <n v="50.28"/>
    <n v="5"/>
    <n v="12.57"/>
    <n v="263.97000000000003"/>
    <x v="37"/>
    <d v="1899-12-30T13:58:00"/>
    <x v="0"/>
    <n v="251.4"/>
    <n v="4.7619047620000003"/>
    <n v="12.57"/>
    <x v="58"/>
  </r>
  <r>
    <s v="743-04-1105"/>
    <s v="B"/>
    <x v="2"/>
    <x v="0"/>
    <s v="Male"/>
    <x v="0"/>
    <n v="97.22"/>
    <n v="9"/>
    <n v="43.749000000000002"/>
    <n v="918.72900000000004"/>
    <x v="73"/>
    <d v="1899-12-30T14:43:00"/>
    <x v="0"/>
    <n v="874.98"/>
    <n v="4.7619047620000003"/>
    <n v="43.749000000000002"/>
    <x v="22"/>
  </r>
  <r>
    <s v="423-57-2993"/>
    <s v="B"/>
    <x v="2"/>
    <x v="1"/>
    <s v="Male"/>
    <x v="3"/>
    <n v="93.39"/>
    <n v="6"/>
    <n v="28.016999999999999"/>
    <n v="588.35699999999997"/>
    <x v="39"/>
    <d v="1899-12-30T19:18:00"/>
    <x v="0"/>
    <n v="560.34"/>
    <n v="4.7619047620000003"/>
    <n v="28.016999999999999"/>
    <x v="40"/>
  </r>
  <r>
    <s v="894-41-5205"/>
    <s v="C"/>
    <x v="1"/>
    <x v="1"/>
    <s v="Female"/>
    <x v="4"/>
    <n v="43.18"/>
    <n v="8"/>
    <n v="17.271999999999998"/>
    <n v="362.71199999999999"/>
    <x v="64"/>
    <d v="1899-12-30T19:39:00"/>
    <x v="2"/>
    <n v="345.44"/>
    <n v="4.7619047620000003"/>
    <n v="17.271999999999998"/>
    <x v="47"/>
  </r>
  <r>
    <s v="275-28-0149"/>
    <s v="A"/>
    <x v="0"/>
    <x v="1"/>
    <s v="Male"/>
    <x v="3"/>
    <n v="63.69"/>
    <n v="1"/>
    <n v="3.1844999999999999"/>
    <n v="66.874499999999998"/>
    <x v="6"/>
    <d v="1899-12-30T16:21:00"/>
    <x v="1"/>
    <n v="63.69"/>
    <n v="4.7619047620000003"/>
    <n v="3.1844999999999999"/>
    <x v="22"/>
  </r>
  <r>
    <s v="101-17-6199"/>
    <s v="A"/>
    <x v="0"/>
    <x v="1"/>
    <s v="Male"/>
    <x v="4"/>
    <n v="45.79"/>
    <n v="7"/>
    <n v="16.026499999999999"/>
    <n v="336.55650000000003"/>
    <x v="45"/>
    <d v="1899-12-30T19:44:00"/>
    <x v="2"/>
    <n v="320.52999999999997"/>
    <n v="4.7619047620000003"/>
    <n v="16.026499999999999"/>
    <x v="27"/>
  </r>
  <r>
    <s v="423-80-0988"/>
    <s v="C"/>
    <x v="1"/>
    <x v="1"/>
    <s v="Male"/>
    <x v="3"/>
    <n v="76.400000000000006"/>
    <n v="2"/>
    <n v="7.64"/>
    <n v="160.44"/>
    <x v="74"/>
    <d v="1899-12-30T19:42:00"/>
    <x v="0"/>
    <n v="152.80000000000001"/>
    <n v="4.7619047620000003"/>
    <n v="7.64"/>
    <x v="35"/>
  </r>
  <r>
    <s v="548-46-9322"/>
    <s v="B"/>
    <x v="2"/>
    <x v="1"/>
    <s v="Male"/>
    <x v="4"/>
    <n v="39.9"/>
    <n v="10"/>
    <n v="19.95"/>
    <n v="418.95"/>
    <x v="9"/>
    <d v="1899-12-30T15:24:00"/>
    <x v="2"/>
    <n v="399"/>
    <n v="4.7619047620000003"/>
    <n v="19.95"/>
    <x v="9"/>
  </r>
  <r>
    <s v="505-02-0892"/>
    <s v="B"/>
    <x v="2"/>
    <x v="0"/>
    <s v="Male"/>
    <x v="0"/>
    <n v="42.57"/>
    <n v="8"/>
    <n v="17.027999999999999"/>
    <n v="357.58800000000002"/>
    <x v="6"/>
    <d v="1899-12-30T14:12:00"/>
    <x v="0"/>
    <n v="340.56"/>
    <n v="4.7619047620000003"/>
    <n v="17.027999999999999"/>
    <x v="32"/>
  </r>
  <r>
    <s v="234-65-2137"/>
    <s v="C"/>
    <x v="1"/>
    <x v="1"/>
    <s v="Male"/>
    <x v="2"/>
    <n v="95.58"/>
    <n v="10"/>
    <n v="47.79"/>
    <n v="1003.59"/>
    <x v="65"/>
    <d v="1899-12-30T13:32:00"/>
    <x v="1"/>
    <n v="955.8"/>
    <n v="4.7619047620000003"/>
    <n v="47.79"/>
    <x v="19"/>
  </r>
  <r>
    <s v="687-47-8271"/>
    <s v="A"/>
    <x v="0"/>
    <x v="1"/>
    <s v="Male"/>
    <x v="5"/>
    <n v="98.98"/>
    <n v="10"/>
    <n v="49.49"/>
    <n v="1039.29"/>
    <x v="4"/>
    <d v="1899-12-30T16:20:00"/>
    <x v="2"/>
    <n v="989.8"/>
    <n v="4.7619047620000003"/>
    <n v="49.49"/>
    <x v="44"/>
  </r>
  <r>
    <s v="796-32-9050"/>
    <s v="A"/>
    <x v="0"/>
    <x v="1"/>
    <s v="Male"/>
    <x v="4"/>
    <n v="51.28"/>
    <n v="6"/>
    <n v="15.384"/>
    <n v="323.06400000000002"/>
    <x v="64"/>
    <d v="1899-12-30T16:31:00"/>
    <x v="1"/>
    <n v="307.68"/>
    <n v="4.7619047620000003"/>
    <n v="15.384"/>
    <x v="35"/>
  </r>
  <r>
    <s v="105-31-1824"/>
    <s v="A"/>
    <x v="0"/>
    <x v="0"/>
    <s v="Male"/>
    <x v="3"/>
    <n v="69.52"/>
    <n v="7"/>
    <n v="24.332000000000001"/>
    <n v="510.97199999999998"/>
    <x v="60"/>
    <d v="1899-12-30T15:10:00"/>
    <x v="2"/>
    <n v="486.64"/>
    <n v="4.7619047620000003"/>
    <n v="24.332000000000001"/>
    <x v="23"/>
  </r>
  <r>
    <s v="249-42-3782"/>
    <s v="A"/>
    <x v="0"/>
    <x v="1"/>
    <s v="Male"/>
    <x v="0"/>
    <n v="70.010000000000005"/>
    <n v="5"/>
    <n v="17.502500000000001"/>
    <n v="367.55250000000001"/>
    <x v="75"/>
    <d v="1899-12-30T11:36:00"/>
    <x v="0"/>
    <n v="350.05"/>
    <n v="4.7619047620000003"/>
    <n v="17.502500000000001"/>
    <x v="46"/>
  </r>
  <r>
    <s v="316-55-4634"/>
    <s v="B"/>
    <x v="2"/>
    <x v="0"/>
    <s v="Male"/>
    <x v="4"/>
    <n v="80.05"/>
    <n v="5"/>
    <n v="20.012499999999999"/>
    <n v="420.26249999999999"/>
    <x v="53"/>
    <d v="1899-12-30T12:45:00"/>
    <x v="2"/>
    <n v="400.25"/>
    <n v="4.7619047620000003"/>
    <n v="20.012499999999999"/>
    <x v="45"/>
  </r>
  <r>
    <s v="733-33-4967"/>
    <s v="C"/>
    <x v="1"/>
    <x v="1"/>
    <s v="Male"/>
    <x v="1"/>
    <n v="20.85"/>
    <n v="8"/>
    <n v="8.34"/>
    <n v="175.14"/>
    <x v="2"/>
    <d v="1899-12-30T19:17:00"/>
    <x v="1"/>
    <n v="166.8"/>
    <n v="4.7619047620000003"/>
    <n v="8.34"/>
    <x v="31"/>
  </r>
  <r>
    <s v="608-27-6295"/>
    <s v="B"/>
    <x v="2"/>
    <x v="0"/>
    <s v="Male"/>
    <x v="1"/>
    <n v="52.89"/>
    <n v="6"/>
    <n v="15.867000000000001"/>
    <n v="333.20699999999999"/>
    <x v="64"/>
    <d v="1899-12-30T17:34:00"/>
    <x v="2"/>
    <n v="317.33999999999997"/>
    <n v="4.7619047620000003"/>
    <n v="15.867000000000001"/>
    <x v="57"/>
  </r>
  <r>
    <s v="414-12-7047"/>
    <s v="B"/>
    <x v="2"/>
    <x v="1"/>
    <s v="Male"/>
    <x v="4"/>
    <n v="19.79"/>
    <n v="8"/>
    <n v="7.9160000000000004"/>
    <n v="166.23599999999999"/>
    <x v="68"/>
    <d v="1899-12-30T12:04:00"/>
    <x v="0"/>
    <n v="158.32"/>
    <n v="4.7619047620000003"/>
    <n v="7.9160000000000004"/>
    <x v="44"/>
  </r>
  <r>
    <s v="827-26-2100"/>
    <s v="A"/>
    <x v="0"/>
    <x v="0"/>
    <s v="Male"/>
    <x v="2"/>
    <n v="33.840000000000003"/>
    <n v="9"/>
    <n v="15.228"/>
    <n v="319.78800000000001"/>
    <x v="76"/>
    <d v="1899-12-30T16:21:00"/>
    <x v="0"/>
    <n v="304.56"/>
    <n v="4.7619047620000003"/>
    <n v="15.228"/>
    <x v="55"/>
  </r>
  <r>
    <s v="175-54-2529"/>
    <s v="A"/>
    <x v="0"/>
    <x v="0"/>
    <s v="Male"/>
    <x v="4"/>
    <n v="22.17"/>
    <n v="8"/>
    <n v="8.8680000000000003"/>
    <n v="186.22800000000001"/>
    <x v="2"/>
    <d v="1899-12-30T17:01:00"/>
    <x v="2"/>
    <n v="177.36"/>
    <n v="4.7619047620000003"/>
    <n v="8.8680000000000003"/>
    <x v="1"/>
  </r>
  <r>
    <s v="139-52-2867"/>
    <s v="C"/>
    <x v="1"/>
    <x v="1"/>
    <s v="Female"/>
    <x v="5"/>
    <n v="22.51"/>
    <n v="7"/>
    <n v="7.8784999999999998"/>
    <n v="165.4485"/>
    <x v="77"/>
    <d v="1899-12-30T10:50:00"/>
    <x v="2"/>
    <n v="157.57"/>
    <n v="4.7619047620000003"/>
    <n v="7.8784999999999998"/>
    <x v="19"/>
  </r>
  <r>
    <s v="407-63-8975"/>
    <s v="A"/>
    <x v="0"/>
    <x v="1"/>
    <s v="Male"/>
    <x v="4"/>
    <n v="73.88"/>
    <n v="6"/>
    <n v="22.164000000000001"/>
    <n v="465.44400000000002"/>
    <x v="28"/>
    <d v="1899-12-30T19:16:00"/>
    <x v="0"/>
    <n v="443.28"/>
    <n v="4.7619047620000003"/>
    <n v="22.164000000000001"/>
    <x v="18"/>
  </r>
  <r>
    <s v="342-65-4817"/>
    <s v="C"/>
    <x v="1"/>
    <x v="0"/>
    <s v="Male"/>
    <x v="0"/>
    <n v="86.8"/>
    <n v="3"/>
    <n v="13.02"/>
    <n v="273.42"/>
    <x v="26"/>
    <d v="1899-12-30T16:47:00"/>
    <x v="0"/>
    <n v="260.39999999999998"/>
    <n v="4.7619047620000003"/>
    <n v="13.02"/>
    <x v="21"/>
  </r>
  <r>
    <s v="130-98-8941"/>
    <s v="C"/>
    <x v="1"/>
    <x v="1"/>
    <s v="Male"/>
    <x v="5"/>
    <n v="64.260000000000005"/>
    <n v="7"/>
    <n v="22.491"/>
    <n v="472.31099999999998"/>
    <x v="57"/>
    <d v="1899-12-30T10:00:00"/>
    <x v="1"/>
    <n v="449.82"/>
    <n v="4.7619047620000003"/>
    <n v="22.491"/>
    <x v="14"/>
  </r>
  <r>
    <s v="434-83-9547"/>
    <s v="C"/>
    <x v="1"/>
    <x v="0"/>
    <s v="Male"/>
    <x v="4"/>
    <n v="38.47"/>
    <n v="8"/>
    <n v="15.388"/>
    <n v="323.14800000000002"/>
    <x v="54"/>
    <d v="1899-12-30T11:51:00"/>
    <x v="1"/>
    <n v="307.76"/>
    <n v="4.7619047620000003"/>
    <n v="15.388"/>
    <x v="25"/>
  </r>
  <r>
    <s v="851-28-6367"/>
    <s v="A"/>
    <x v="0"/>
    <x v="0"/>
    <s v="Male"/>
    <x v="3"/>
    <n v="15.5"/>
    <n v="10"/>
    <n v="7.75"/>
    <n v="162.75"/>
    <x v="28"/>
    <d v="1899-12-30T10:55:00"/>
    <x v="0"/>
    <n v="155"/>
    <n v="4.7619047620000003"/>
    <n v="7.75"/>
    <x v="7"/>
  </r>
  <r>
    <s v="824-88-3614"/>
    <s v="C"/>
    <x v="1"/>
    <x v="1"/>
    <s v="Male"/>
    <x v="0"/>
    <n v="34.31"/>
    <n v="8"/>
    <n v="13.724"/>
    <n v="288.20400000000001"/>
    <x v="25"/>
    <d v="1899-12-30T15:00:00"/>
    <x v="0"/>
    <n v="274.48"/>
    <n v="4.7619047620000003"/>
    <n v="13.724"/>
    <x v="14"/>
  </r>
  <r>
    <s v="586-25-0848"/>
    <s v="A"/>
    <x v="0"/>
    <x v="1"/>
    <s v="Female"/>
    <x v="3"/>
    <n v="12.34"/>
    <n v="7"/>
    <n v="4.319"/>
    <n v="90.698999999999998"/>
    <x v="31"/>
    <d v="1899-12-30T11:19:00"/>
    <x v="2"/>
    <n v="86.38"/>
    <n v="4.7619047620000003"/>
    <n v="4.319"/>
    <x v="24"/>
  </r>
  <r>
    <s v="895-66-0685"/>
    <s v="B"/>
    <x v="2"/>
    <x v="0"/>
    <s v="Male"/>
    <x v="4"/>
    <n v="18.079999999999998"/>
    <n v="3"/>
    <n v="2.7120000000000002"/>
    <n v="56.951999999999998"/>
    <x v="19"/>
    <d v="1899-12-30T19:46:00"/>
    <x v="0"/>
    <n v="54.24"/>
    <n v="4.7619047620000003"/>
    <n v="2.7120000000000002"/>
    <x v="7"/>
  </r>
  <r>
    <s v="305-14-0245"/>
    <s v="B"/>
    <x v="2"/>
    <x v="0"/>
    <s v="Female"/>
    <x v="2"/>
    <n v="94.49"/>
    <n v="8"/>
    <n v="37.795999999999999"/>
    <n v="793.71600000000001"/>
    <x v="2"/>
    <d v="1899-12-30T19:00:00"/>
    <x v="0"/>
    <n v="755.92"/>
    <n v="4.7619047620000003"/>
    <n v="37.795999999999999"/>
    <x v="26"/>
  </r>
  <r>
    <s v="732-04-5373"/>
    <s v="B"/>
    <x v="2"/>
    <x v="0"/>
    <s v="Male"/>
    <x v="2"/>
    <n v="46.47"/>
    <n v="4"/>
    <n v="9.2940000000000005"/>
    <n v="195.17400000000001"/>
    <x v="4"/>
    <d v="1899-12-30T10:53:00"/>
    <x v="1"/>
    <n v="185.88"/>
    <n v="4.7619047620000003"/>
    <n v="9.2940000000000005"/>
    <x v="27"/>
  </r>
  <r>
    <s v="400-60-7251"/>
    <s v="A"/>
    <x v="0"/>
    <x v="1"/>
    <s v="Male"/>
    <x v="2"/>
    <n v="74.069999999999993"/>
    <n v="1"/>
    <n v="3.7035"/>
    <n v="77.773499999999999"/>
    <x v="34"/>
    <d v="1899-12-30T12:50:00"/>
    <x v="0"/>
    <n v="74.069999999999993"/>
    <n v="4.7619047620000003"/>
    <n v="3.7035"/>
    <x v="21"/>
  </r>
  <r>
    <s v="593-65-1552"/>
    <s v="C"/>
    <x v="1"/>
    <x v="1"/>
    <s v="Female"/>
    <x v="2"/>
    <n v="69.81"/>
    <n v="4"/>
    <n v="13.962"/>
    <n v="293.202"/>
    <x v="26"/>
    <d v="1899-12-30T20:50:00"/>
    <x v="2"/>
    <n v="279.24"/>
    <n v="4.7619047620000003"/>
    <n v="13.962"/>
    <x v="9"/>
  </r>
  <r>
    <s v="284-34-9626"/>
    <s v="B"/>
    <x v="2"/>
    <x v="1"/>
    <s v="Female"/>
    <x v="2"/>
    <n v="77.040000000000006"/>
    <n v="3"/>
    <n v="11.555999999999999"/>
    <n v="242.67599999999999"/>
    <x v="48"/>
    <d v="1899-12-30T10:39:00"/>
    <x v="2"/>
    <n v="231.12"/>
    <n v="4.7619047620000003"/>
    <n v="11.555999999999999"/>
    <x v="8"/>
  </r>
  <r>
    <s v="437-58-8131"/>
    <s v="B"/>
    <x v="2"/>
    <x v="1"/>
    <s v="Female"/>
    <x v="5"/>
    <n v="73.52"/>
    <n v="2"/>
    <n v="7.3520000000000003"/>
    <n v="154.392"/>
    <x v="15"/>
    <d v="1899-12-30T13:41:00"/>
    <x v="0"/>
    <n v="147.04"/>
    <n v="4.7619047620000003"/>
    <n v="7.3520000000000003"/>
    <x v="15"/>
  </r>
  <r>
    <s v="286-43-6208"/>
    <s v="C"/>
    <x v="1"/>
    <x v="1"/>
    <s v="Female"/>
    <x v="4"/>
    <n v="87.8"/>
    <n v="9"/>
    <n v="39.51"/>
    <n v="829.71"/>
    <x v="32"/>
    <d v="1899-12-30T19:08:00"/>
    <x v="1"/>
    <n v="790.2"/>
    <n v="4.7619047620000003"/>
    <n v="39.51"/>
    <x v="51"/>
  </r>
  <r>
    <s v="641-43-2399"/>
    <s v="B"/>
    <x v="2"/>
    <x v="1"/>
    <s v="Male"/>
    <x v="2"/>
    <n v="25.55"/>
    <n v="4"/>
    <n v="5.1100000000000003"/>
    <n v="107.31"/>
    <x v="53"/>
    <d v="1899-12-30T20:23:00"/>
    <x v="0"/>
    <n v="102.2"/>
    <n v="4.7619047620000003"/>
    <n v="5.1100000000000003"/>
    <x v="14"/>
  </r>
  <r>
    <s v="831-07-6050"/>
    <s v="A"/>
    <x v="0"/>
    <x v="1"/>
    <s v="Male"/>
    <x v="1"/>
    <n v="32.71"/>
    <n v="5"/>
    <n v="8.1775000000000002"/>
    <n v="171.72749999999999"/>
    <x v="35"/>
    <d v="1899-12-30T11:30:00"/>
    <x v="2"/>
    <n v="163.55000000000001"/>
    <n v="4.7619047620000003"/>
    <n v="8.1775000000000002"/>
    <x v="21"/>
  </r>
  <r>
    <s v="556-86-3144"/>
    <s v="C"/>
    <x v="1"/>
    <x v="0"/>
    <s v="Female"/>
    <x v="5"/>
    <n v="74.290000000000006"/>
    <n v="1"/>
    <n v="3.7145000000000001"/>
    <n v="78.004499999999993"/>
    <x v="50"/>
    <d v="1899-12-30T19:30:00"/>
    <x v="1"/>
    <n v="74.290000000000006"/>
    <n v="4.7619047620000003"/>
    <n v="3.7145000000000001"/>
    <x v="59"/>
  </r>
  <r>
    <s v="848-24-9445"/>
    <s v="C"/>
    <x v="1"/>
    <x v="0"/>
    <s v="Male"/>
    <x v="0"/>
    <n v="43.7"/>
    <n v="2"/>
    <n v="4.37"/>
    <n v="91.77"/>
    <x v="58"/>
    <d v="1899-12-30T18:03:00"/>
    <x v="1"/>
    <n v="87.4"/>
    <n v="4.7619047620000003"/>
    <n v="4.37"/>
    <x v="49"/>
  </r>
  <r>
    <s v="856-22-8149"/>
    <s v="A"/>
    <x v="0"/>
    <x v="1"/>
    <s v="Female"/>
    <x v="2"/>
    <n v="25.29"/>
    <n v="1"/>
    <n v="1.2645"/>
    <n v="26.554500000000001"/>
    <x v="28"/>
    <d v="1899-12-30T10:13:00"/>
    <x v="0"/>
    <n v="25.29"/>
    <n v="4.7619047620000003"/>
    <n v="1.2645"/>
    <x v="36"/>
  </r>
  <r>
    <s v="699-01-4164"/>
    <s v="C"/>
    <x v="1"/>
    <x v="1"/>
    <s v="Male"/>
    <x v="0"/>
    <n v="41.5"/>
    <n v="4"/>
    <n v="8.3000000000000007"/>
    <n v="174.3"/>
    <x v="41"/>
    <d v="1899-12-30T19:58:00"/>
    <x v="2"/>
    <n v="166"/>
    <n v="4.7619047620000003"/>
    <n v="8.3000000000000007"/>
    <x v="13"/>
  </r>
  <r>
    <s v="420-11-4919"/>
    <s v="C"/>
    <x v="1"/>
    <x v="0"/>
    <s v="Female"/>
    <x v="4"/>
    <n v="71.39"/>
    <n v="5"/>
    <n v="17.8475"/>
    <n v="374.79750000000001"/>
    <x v="21"/>
    <d v="1899-12-30T19:57:00"/>
    <x v="2"/>
    <n v="356.95"/>
    <n v="4.7619047620000003"/>
    <n v="17.8475"/>
    <x v="46"/>
  </r>
  <r>
    <s v="606-80-4905"/>
    <s v="C"/>
    <x v="1"/>
    <x v="0"/>
    <s v="Female"/>
    <x v="3"/>
    <n v="19.149999999999999"/>
    <n v="6"/>
    <n v="5.7450000000000001"/>
    <n v="120.645"/>
    <x v="71"/>
    <d v="1899-12-30T10:01:00"/>
    <x v="2"/>
    <n v="114.9"/>
    <n v="4.7619047620000003"/>
    <n v="5.7450000000000001"/>
    <x v="11"/>
  </r>
  <r>
    <s v="542-41-0513"/>
    <s v="B"/>
    <x v="2"/>
    <x v="0"/>
    <s v="Female"/>
    <x v="1"/>
    <n v="57.49"/>
    <n v="4"/>
    <n v="11.497999999999999"/>
    <n v="241.458"/>
    <x v="20"/>
    <d v="1899-12-30T11:57:00"/>
    <x v="1"/>
    <n v="229.96"/>
    <n v="4.7619047620000003"/>
    <n v="11.497999999999999"/>
    <x v="37"/>
  </r>
  <r>
    <s v="426-39-2418"/>
    <s v="C"/>
    <x v="1"/>
    <x v="1"/>
    <s v="Male"/>
    <x v="1"/>
    <n v="61.41"/>
    <n v="7"/>
    <n v="21.493500000000001"/>
    <n v="451.36349999999999"/>
    <x v="78"/>
    <d v="1899-12-30T10:02:00"/>
    <x v="1"/>
    <n v="429.87"/>
    <n v="4.7619047620000003"/>
    <n v="21.493500000000001"/>
    <x v="57"/>
  </r>
  <r>
    <s v="875-46-5808"/>
    <s v="B"/>
    <x v="2"/>
    <x v="0"/>
    <s v="Male"/>
    <x v="0"/>
    <n v="25.9"/>
    <n v="10"/>
    <n v="12.95"/>
    <n v="271.95"/>
    <x v="10"/>
    <d v="1899-12-30T14:51:00"/>
    <x v="0"/>
    <n v="259"/>
    <n v="4.7619047620000003"/>
    <n v="12.95"/>
    <x v="44"/>
  </r>
  <r>
    <s v="394-43-4238"/>
    <s v="B"/>
    <x v="2"/>
    <x v="0"/>
    <s v="Male"/>
    <x v="2"/>
    <n v="17.77"/>
    <n v="5"/>
    <n v="4.4424999999999999"/>
    <n v="93.292500000000004"/>
    <x v="42"/>
    <d v="1899-12-30T12:42:00"/>
    <x v="2"/>
    <n v="88.85"/>
    <n v="4.7619047620000003"/>
    <n v="4.4424999999999999"/>
    <x v="38"/>
  </r>
  <r>
    <s v="749-24-1565"/>
    <s v="A"/>
    <x v="0"/>
    <x v="1"/>
    <s v="Female"/>
    <x v="0"/>
    <n v="23.03"/>
    <n v="9"/>
    <n v="10.3635"/>
    <n v="217.6335"/>
    <x v="75"/>
    <d v="1899-12-30T12:02:00"/>
    <x v="0"/>
    <n v="207.27"/>
    <n v="4.7619047620000003"/>
    <n v="10.3635"/>
    <x v="30"/>
  </r>
  <r>
    <s v="672-51-8681"/>
    <s v="C"/>
    <x v="1"/>
    <x v="0"/>
    <s v="Female"/>
    <x v="1"/>
    <n v="66.650000000000006"/>
    <n v="9"/>
    <n v="29.9925"/>
    <n v="629.84249999999997"/>
    <x v="72"/>
    <d v="1899-12-30T18:19:00"/>
    <x v="2"/>
    <n v="599.85"/>
    <n v="4.7619047620000003"/>
    <n v="29.9925"/>
    <x v="58"/>
  </r>
  <r>
    <s v="263-87-5680"/>
    <s v="C"/>
    <x v="1"/>
    <x v="0"/>
    <s v="Female"/>
    <x v="2"/>
    <n v="28.53"/>
    <n v="10"/>
    <n v="14.265000000000001"/>
    <n v="299.565"/>
    <x v="79"/>
    <d v="1899-12-30T17:38:00"/>
    <x v="0"/>
    <n v="285.3"/>
    <n v="4.7619047620000003"/>
    <n v="14.265000000000001"/>
    <x v="52"/>
  </r>
  <r>
    <s v="573-58-9734"/>
    <s v="B"/>
    <x v="2"/>
    <x v="1"/>
    <s v="Female"/>
    <x v="5"/>
    <n v="30.37"/>
    <n v="3"/>
    <n v="4.5555000000000003"/>
    <n v="95.665499999999994"/>
    <x v="61"/>
    <d v="1899-12-30T13:41:00"/>
    <x v="0"/>
    <n v="91.11"/>
    <n v="4.7619047620000003"/>
    <n v="4.5555000000000003"/>
    <x v="20"/>
  </r>
  <r>
    <s v="817-69-8206"/>
    <s v="B"/>
    <x v="2"/>
    <x v="1"/>
    <s v="Female"/>
    <x v="1"/>
    <n v="99.73"/>
    <n v="9"/>
    <n v="44.878500000000003"/>
    <n v="942.44849999999997"/>
    <x v="22"/>
    <d v="1899-12-30T19:42:00"/>
    <x v="2"/>
    <n v="897.57"/>
    <n v="4.7619047620000003"/>
    <n v="44.878500000000003"/>
    <x v="35"/>
  </r>
  <r>
    <s v="888-02-0338"/>
    <s v="A"/>
    <x v="0"/>
    <x v="1"/>
    <s v="Male"/>
    <x v="1"/>
    <n v="26.23"/>
    <n v="9"/>
    <n v="11.8035"/>
    <n v="247.87350000000001"/>
    <x v="25"/>
    <d v="1899-12-30T20:24:00"/>
    <x v="0"/>
    <n v="236.07"/>
    <n v="4.7619047620000003"/>
    <n v="11.8035"/>
    <x v="9"/>
  </r>
  <r>
    <s v="677-11-0152"/>
    <s v="C"/>
    <x v="1"/>
    <x v="1"/>
    <s v="Female"/>
    <x v="4"/>
    <n v="93.26"/>
    <n v="9"/>
    <n v="41.966999999999999"/>
    <n v="881.30700000000002"/>
    <x v="65"/>
    <d v="1899-12-30T18:08:00"/>
    <x v="1"/>
    <n v="839.34"/>
    <n v="4.7619047620000003"/>
    <n v="41.966999999999999"/>
    <x v="55"/>
  </r>
  <r>
    <s v="142-63-6033"/>
    <s v="B"/>
    <x v="2"/>
    <x v="1"/>
    <s v="Male"/>
    <x v="2"/>
    <n v="92.36"/>
    <n v="5"/>
    <n v="23.09"/>
    <n v="484.89"/>
    <x v="80"/>
    <d v="1899-12-30T19:17:00"/>
    <x v="0"/>
    <n v="461.8"/>
    <n v="4.7619047620000003"/>
    <n v="23.09"/>
    <x v="49"/>
  </r>
  <r>
    <s v="656-16-1063"/>
    <s v="B"/>
    <x v="2"/>
    <x v="1"/>
    <s v="Male"/>
    <x v="3"/>
    <n v="46.42"/>
    <n v="3"/>
    <n v="6.9630000000000001"/>
    <n v="146.22300000000001"/>
    <x v="72"/>
    <d v="1899-12-30T13:24:00"/>
    <x v="2"/>
    <n v="139.26"/>
    <n v="4.7619047620000003"/>
    <n v="6.9630000000000001"/>
    <x v="18"/>
  </r>
  <r>
    <s v="891-58-8335"/>
    <s v="B"/>
    <x v="2"/>
    <x v="0"/>
    <s v="Female"/>
    <x v="3"/>
    <n v="29.61"/>
    <n v="7"/>
    <n v="10.3635"/>
    <n v="217.6335"/>
    <x v="16"/>
    <d v="1899-12-30T15:53:00"/>
    <x v="1"/>
    <n v="207.27"/>
    <n v="4.7619047620000003"/>
    <n v="10.3635"/>
    <x v="35"/>
  </r>
  <r>
    <s v="802-43-8934"/>
    <s v="A"/>
    <x v="0"/>
    <x v="1"/>
    <s v="Male"/>
    <x v="2"/>
    <n v="18.28"/>
    <n v="1"/>
    <n v="0.91400000000000003"/>
    <n v="19.193999999999999"/>
    <x v="23"/>
    <d v="1899-12-30T15:05:00"/>
    <x v="2"/>
    <n v="18.28"/>
    <n v="4.7619047620000003"/>
    <n v="0.91400000000000003"/>
    <x v="47"/>
  </r>
  <r>
    <s v="560-30-5617"/>
    <s v="B"/>
    <x v="2"/>
    <x v="1"/>
    <s v="Female"/>
    <x v="3"/>
    <n v="24.77"/>
    <n v="5"/>
    <n v="6.1924999999999999"/>
    <n v="130.04249999999999"/>
    <x v="62"/>
    <d v="1899-12-30T18:27:00"/>
    <x v="1"/>
    <n v="123.85"/>
    <n v="4.7619047620000003"/>
    <n v="6.1924999999999999"/>
    <x v="23"/>
  </r>
  <r>
    <s v="319-74-2561"/>
    <s v="A"/>
    <x v="0"/>
    <x v="0"/>
    <s v="Female"/>
    <x v="1"/>
    <n v="94.64"/>
    <n v="3"/>
    <n v="14.196"/>
    <n v="298.11599999999999"/>
    <x v="81"/>
    <d v="1899-12-30T16:55:00"/>
    <x v="1"/>
    <n v="283.92"/>
    <n v="4.7619047620000003"/>
    <n v="14.196"/>
    <x v="46"/>
  </r>
  <r>
    <s v="549-03-9315"/>
    <s v="B"/>
    <x v="2"/>
    <x v="1"/>
    <s v="Male"/>
    <x v="5"/>
    <n v="94.87"/>
    <n v="8"/>
    <n v="37.948"/>
    <n v="796.90800000000002"/>
    <x v="12"/>
    <d v="1899-12-30T12:58:00"/>
    <x v="0"/>
    <n v="758.96"/>
    <n v="4.7619047620000003"/>
    <n v="37.948"/>
    <x v="44"/>
  </r>
  <r>
    <s v="790-29-1172"/>
    <s v="B"/>
    <x v="2"/>
    <x v="1"/>
    <s v="Female"/>
    <x v="4"/>
    <n v="57.34"/>
    <n v="3"/>
    <n v="8.6010000000000009"/>
    <n v="180.62100000000001"/>
    <x v="24"/>
    <d v="1899-12-30T18:59:00"/>
    <x v="2"/>
    <n v="172.02"/>
    <n v="4.7619047620000003"/>
    <n v="8.6010000000000009"/>
    <x v="30"/>
  </r>
  <r>
    <s v="239-36-3640"/>
    <s v="B"/>
    <x v="2"/>
    <x v="1"/>
    <s v="Male"/>
    <x v="1"/>
    <n v="45.35"/>
    <n v="6"/>
    <n v="13.605"/>
    <n v="285.70499999999998"/>
    <x v="82"/>
    <d v="1899-12-30T13:44:00"/>
    <x v="0"/>
    <n v="272.10000000000002"/>
    <n v="4.7619047620000003"/>
    <n v="13.605"/>
    <x v="36"/>
  </r>
  <r>
    <s v="468-01-2051"/>
    <s v="B"/>
    <x v="2"/>
    <x v="1"/>
    <s v="Male"/>
    <x v="4"/>
    <n v="62.08"/>
    <n v="7"/>
    <n v="21.728000000000002"/>
    <n v="456.28800000000001"/>
    <x v="43"/>
    <d v="1899-12-30T13:46:00"/>
    <x v="0"/>
    <n v="434.56"/>
    <n v="4.7619047620000003"/>
    <n v="21.728000000000002"/>
    <x v="38"/>
  </r>
  <r>
    <s v="389-25-3394"/>
    <s v="C"/>
    <x v="1"/>
    <x v="1"/>
    <s v="Male"/>
    <x v="1"/>
    <n v="11.81"/>
    <n v="5"/>
    <n v="2.9525000000000001"/>
    <n v="62.002499999999998"/>
    <x v="21"/>
    <d v="1899-12-30T18:06:00"/>
    <x v="1"/>
    <n v="59.05"/>
    <n v="4.7619047620000003"/>
    <n v="2.9525000000000001"/>
    <x v="45"/>
  </r>
  <r>
    <s v="279-62-1445"/>
    <s v="C"/>
    <x v="1"/>
    <x v="0"/>
    <s v="Female"/>
    <x v="5"/>
    <n v="12.54"/>
    <n v="1"/>
    <n v="0.627"/>
    <n v="13.167"/>
    <x v="81"/>
    <d v="1899-12-30T12:38:00"/>
    <x v="1"/>
    <n v="12.54"/>
    <n v="4.7619047620000003"/>
    <n v="0.627"/>
    <x v="13"/>
  </r>
  <r>
    <s v="213-72-6612"/>
    <s v="A"/>
    <x v="0"/>
    <x v="1"/>
    <s v="Male"/>
    <x v="4"/>
    <n v="43.25"/>
    <n v="2"/>
    <n v="4.3250000000000002"/>
    <n v="90.825000000000003"/>
    <x v="80"/>
    <d v="1899-12-30T15:56:00"/>
    <x v="1"/>
    <n v="86.5"/>
    <n v="4.7619047620000003"/>
    <n v="4.3250000000000002"/>
    <x v="56"/>
  </r>
  <r>
    <s v="746-68-6593"/>
    <s v="C"/>
    <x v="1"/>
    <x v="0"/>
    <s v="Female"/>
    <x v="3"/>
    <n v="87.16"/>
    <n v="2"/>
    <n v="8.7159999999999993"/>
    <n v="183.036"/>
    <x v="83"/>
    <d v="1899-12-30T14:29:00"/>
    <x v="2"/>
    <n v="174.32"/>
    <n v="4.7619047620000003"/>
    <n v="8.7159999999999993"/>
    <x v="58"/>
  </r>
  <r>
    <s v="836-82-5858"/>
    <s v="B"/>
    <x v="2"/>
    <x v="0"/>
    <s v="Male"/>
    <x v="0"/>
    <n v="69.37"/>
    <n v="9"/>
    <n v="31.2165"/>
    <n v="655.54650000000004"/>
    <x v="53"/>
    <d v="1899-12-30T19:14:00"/>
    <x v="0"/>
    <n v="624.33000000000004"/>
    <n v="4.7619047620000003"/>
    <n v="31.2165"/>
    <x v="43"/>
  </r>
  <r>
    <s v="583-72-1480"/>
    <s v="C"/>
    <x v="1"/>
    <x v="0"/>
    <s v="Male"/>
    <x v="1"/>
    <n v="37.06"/>
    <n v="4"/>
    <n v="7.4119999999999999"/>
    <n v="155.65199999999999"/>
    <x v="82"/>
    <d v="1899-12-30T16:24:00"/>
    <x v="0"/>
    <n v="148.24"/>
    <n v="4.7619047620000003"/>
    <n v="7.4119999999999999"/>
    <x v="58"/>
  </r>
  <r>
    <s v="466-61-5506"/>
    <s v="B"/>
    <x v="2"/>
    <x v="0"/>
    <s v="Female"/>
    <x v="1"/>
    <n v="90.7"/>
    <n v="6"/>
    <n v="27.21"/>
    <n v="571.41"/>
    <x v="84"/>
    <d v="1899-12-30T10:52:00"/>
    <x v="1"/>
    <n v="544.20000000000005"/>
    <n v="4.7619047620000003"/>
    <n v="27.21"/>
    <x v="4"/>
  </r>
  <r>
    <s v="721-86-6247"/>
    <s v="A"/>
    <x v="0"/>
    <x v="1"/>
    <s v="Female"/>
    <x v="2"/>
    <n v="63.42"/>
    <n v="8"/>
    <n v="25.367999999999999"/>
    <n v="532.72799999999995"/>
    <x v="16"/>
    <d v="1899-12-30T12:55:00"/>
    <x v="0"/>
    <n v="507.36"/>
    <n v="4.7619047620000003"/>
    <n v="25.367999999999999"/>
    <x v="2"/>
  </r>
  <r>
    <s v="289-65-5721"/>
    <s v="B"/>
    <x v="2"/>
    <x v="1"/>
    <s v="Female"/>
    <x v="5"/>
    <n v="81.37"/>
    <n v="2"/>
    <n v="8.1370000000000005"/>
    <n v="170.87700000000001"/>
    <x v="53"/>
    <d v="1899-12-30T19:28:00"/>
    <x v="1"/>
    <n v="162.74"/>
    <n v="4.7619047620000003"/>
    <n v="8.1370000000000005"/>
    <x v="35"/>
  </r>
  <r>
    <s v="545-46-3100"/>
    <s v="B"/>
    <x v="2"/>
    <x v="0"/>
    <s v="Female"/>
    <x v="1"/>
    <n v="10.59"/>
    <n v="3"/>
    <n v="1.5885"/>
    <n v="33.358499999999999"/>
    <x v="41"/>
    <d v="1899-12-30T13:52:00"/>
    <x v="2"/>
    <n v="31.77"/>
    <n v="4.7619047620000003"/>
    <n v="1.5885"/>
    <x v="44"/>
  </r>
  <r>
    <s v="418-02-5978"/>
    <s v="B"/>
    <x v="2"/>
    <x v="1"/>
    <s v="Female"/>
    <x v="0"/>
    <n v="84.09"/>
    <n v="9"/>
    <n v="37.840499999999999"/>
    <n v="794.65049999999997"/>
    <x v="48"/>
    <d v="1899-12-30T10:54:00"/>
    <x v="1"/>
    <n v="756.81"/>
    <n v="4.7619047620000003"/>
    <n v="37.840499999999999"/>
    <x v="7"/>
  </r>
  <r>
    <s v="269-04-5750"/>
    <s v="B"/>
    <x v="2"/>
    <x v="0"/>
    <s v="Male"/>
    <x v="5"/>
    <n v="73.819999999999993"/>
    <n v="4"/>
    <n v="14.763999999999999"/>
    <n v="310.04399999999998"/>
    <x v="81"/>
    <d v="1899-12-30T18:31:00"/>
    <x v="1"/>
    <n v="295.27999999999997"/>
    <n v="4.7619047620000003"/>
    <n v="14.763999999999999"/>
    <x v="24"/>
  </r>
  <r>
    <s v="157-13-5295"/>
    <s v="A"/>
    <x v="0"/>
    <x v="0"/>
    <s v="Male"/>
    <x v="0"/>
    <n v="51.94"/>
    <n v="10"/>
    <n v="25.97"/>
    <n v="545.37"/>
    <x v="11"/>
    <d v="1899-12-30T18:24:00"/>
    <x v="0"/>
    <n v="519.4"/>
    <n v="4.7619047620000003"/>
    <n v="25.97"/>
    <x v="35"/>
  </r>
  <r>
    <s v="645-78-8093"/>
    <s v="A"/>
    <x v="0"/>
    <x v="1"/>
    <s v="Female"/>
    <x v="3"/>
    <n v="93.14"/>
    <n v="2"/>
    <n v="9.3140000000000001"/>
    <n v="195.59399999999999"/>
    <x v="40"/>
    <d v="1899-12-30T18:09:00"/>
    <x v="0"/>
    <n v="186.28"/>
    <n v="4.7619047620000003"/>
    <n v="9.3140000000000001"/>
    <x v="5"/>
  </r>
  <r>
    <s v="211-30-9270"/>
    <s v="C"/>
    <x v="1"/>
    <x v="1"/>
    <s v="Male"/>
    <x v="0"/>
    <n v="17.41"/>
    <n v="5"/>
    <n v="4.3525"/>
    <n v="91.402500000000003"/>
    <x v="26"/>
    <d v="1899-12-30T15:16:00"/>
    <x v="2"/>
    <n v="87.05"/>
    <n v="4.7619047620000003"/>
    <n v="4.3525"/>
    <x v="49"/>
  </r>
  <r>
    <s v="755-12-3214"/>
    <s v="C"/>
    <x v="1"/>
    <x v="0"/>
    <s v="Female"/>
    <x v="5"/>
    <n v="44.22"/>
    <n v="5"/>
    <n v="11.055"/>
    <n v="232.155"/>
    <x v="19"/>
    <d v="1899-12-30T17:07:00"/>
    <x v="2"/>
    <n v="221.1"/>
    <n v="4.7619047620000003"/>
    <n v="11.055"/>
    <x v="17"/>
  </r>
  <r>
    <s v="346-84-3103"/>
    <s v="B"/>
    <x v="2"/>
    <x v="0"/>
    <s v="Female"/>
    <x v="1"/>
    <n v="13.22"/>
    <n v="5"/>
    <n v="3.3050000000000002"/>
    <n v="69.405000000000001"/>
    <x v="22"/>
    <d v="1899-12-30T19:26:00"/>
    <x v="1"/>
    <n v="66.099999999999994"/>
    <n v="4.7619047620000003"/>
    <n v="3.3050000000000002"/>
    <x v="42"/>
  </r>
  <r>
    <s v="478-06-7835"/>
    <s v="A"/>
    <x v="0"/>
    <x v="1"/>
    <s v="Male"/>
    <x v="5"/>
    <n v="89.69"/>
    <n v="1"/>
    <n v="4.4844999999999997"/>
    <n v="94.174499999999995"/>
    <x v="83"/>
    <d v="1899-12-30T11:20:00"/>
    <x v="0"/>
    <n v="89.69"/>
    <n v="4.7619047620000003"/>
    <n v="4.4844999999999997"/>
    <x v="49"/>
  </r>
  <r>
    <s v="540-11-4336"/>
    <s v="A"/>
    <x v="0"/>
    <x v="1"/>
    <s v="Male"/>
    <x v="4"/>
    <n v="24.94"/>
    <n v="9"/>
    <n v="11.223000000000001"/>
    <n v="235.68299999999999"/>
    <x v="83"/>
    <d v="1899-12-30T16:49:00"/>
    <x v="2"/>
    <n v="224.46"/>
    <n v="4.7619047620000003"/>
    <n v="11.223000000000001"/>
    <x v="32"/>
  </r>
  <r>
    <s v="448-81-5016"/>
    <s v="A"/>
    <x v="0"/>
    <x v="1"/>
    <s v="Male"/>
    <x v="0"/>
    <n v="59.77"/>
    <n v="2"/>
    <n v="5.9770000000000003"/>
    <n v="125.517"/>
    <x v="16"/>
    <d v="1899-12-30T12:01:00"/>
    <x v="2"/>
    <n v="119.54"/>
    <n v="4.7619047620000003"/>
    <n v="5.9770000000000003"/>
    <x v="6"/>
  </r>
  <r>
    <s v="142-72-4741"/>
    <s v="C"/>
    <x v="1"/>
    <x v="0"/>
    <s v="Male"/>
    <x v="5"/>
    <n v="93.2"/>
    <n v="2"/>
    <n v="9.32"/>
    <n v="195.72"/>
    <x v="38"/>
    <d v="1899-12-30T18:37:00"/>
    <x v="2"/>
    <n v="186.4"/>
    <n v="4.7619047620000003"/>
    <n v="9.32"/>
    <x v="22"/>
  </r>
  <r>
    <s v="217-58-1179"/>
    <s v="A"/>
    <x v="0"/>
    <x v="0"/>
    <s v="Male"/>
    <x v="2"/>
    <n v="62.65"/>
    <n v="4"/>
    <n v="12.53"/>
    <n v="263.13"/>
    <x v="0"/>
    <d v="1899-12-30T11:25:00"/>
    <x v="1"/>
    <n v="250.6"/>
    <n v="4.7619047620000003"/>
    <n v="12.53"/>
    <x v="50"/>
  </r>
  <r>
    <s v="376-02-8238"/>
    <s v="B"/>
    <x v="2"/>
    <x v="1"/>
    <s v="Male"/>
    <x v="2"/>
    <n v="93.87"/>
    <n v="8"/>
    <n v="37.548000000000002"/>
    <n v="788.50800000000004"/>
    <x v="30"/>
    <d v="1899-12-30T18:42:00"/>
    <x v="2"/>
    <n v="750.96"/>
    <n v="4.7619047620000003"/>
    <n v="37.548000000000002"/>
    <x v="47"/>
  </r>
  <r>
    <s v="530-90-9855"/>
    <s v="A"/>
    <x v="0"/>
    <x v="0"/>
    <s v="Male"/>
    <x v="2"/>
    <n v="47.59"/>
    <n v="8"/>
    <n v="19.036000000000001"/>
    <n v="399.75599999999997"/>
    <x v="17"/>
    <d v="1899-12-30T14:47:00"/>
    <x v="1"/>
    <n v="380.72"/>
    <n v="4.7619047620000003"/>
    <n v="19.036000000000001"/>
    <x v="14"/>
  </r>
  <r>
    <s v="866-05-7563"/>
    <s v="B"/>
    <x v="2"/>
    <x v="0"/>
    <s v="Female"/>
    <x v="1"/>
    <n v="81.400000000000006"/>
    <n v="3"/>
    <n v="12.21"/>
    <n v="256.41000000000003"/>
    <x v="57"/>
    <d v="1899-12-30T19:43:00"/>
    <x v="1"/>
    <n v="244.2"/>
    <n v="4.7619047620000003"/>
    <n v="12.21"/>
    <x v="19"/>
  </r>
  <r>
    <s v="604-70-6476"/>
    <s v="A"/>
    <x v="0"/>
    <x v="0"/>
    <s v="Male"/>
    <x v="5"/>
    <n v="17.940000000000001"/>
    <n v="5"/>
    <n v="4.4850000000000003"/>
    <n v="94.185000000000002"/>
    <x v="54"/>
    <d v="1899-12-30T14:04:00"/>
    <x v="0"/>
    <n v="89.7"/>
    <n v="4.7619047620000003"/>
    <n v="4.4850000000000003"/>
    <x v="11"/>
  </r>
  <r>
    <s v="799-71-1548"/>
    <s v="A"/>
    <x v="0"/>
    <x v="0"/>
    <s v="Male"/>
    <x v="1"/>
    <n v="77.72"/>
    <n v="4"/>
    <n v="15.544"/>
    <n v="326.42399999999998"/>
    <x v="27"/>
    <d v="1899-12-30T16:11:00"/>
    <x v="2"/>
    <n v="310.88"/>
    <n v="4.7619047620000003"/>
    <n v="15.544"/>
    <x v="55"/>
  </r>
  <r>
    <s v="785-13-7708"/>
    <s v="B"/>
    <x v="2"/>
    <x v="1"/>
    <s v="Male"/>
    <x v="4"/>
    <n v="73.06"/>
    <n v="7"/>
    <n v="25.571000000000002"/>
    <n v="536.99099999999999"/>
    <x v="78"/>
    <d v="1899-12-30T19:06:00"/>
    <x v="2"/>
    <n v="511.42"/>
    <n v="4.7619047620000003"/>
    <n v="25.571000000000002"/>
    <x v="50"/>
  </r>
  <r>
    <s v="845-51-0542"/>
    <s v="B"/>
    <x v="2"/>
    <x v="0"/>
    <s v="Male"/>
    <x v="4"/>
    <n v="46.55"/>
    <n v="9"/>
    <n v="20.947500000000002"/>
    <n v="439.89749999999998"/>
    <x v="30"/>
    <d v="1899-12-30T15:34:00"/>
    <x v="0"/>
    <n v="418.95"/>
    <n v="4.7619047620000003"/>
    <n v="20.947500000000002"/>
    <x v="41"/>
  </r>
  <r>
    <s v="662-47-5456"/>
    <s v="C"/>
    <x v="1"/>
    <x v="0"/>
    <s v="Male"/>
    <x v="5"/>
    <n v="35.19"/>
    <n v="10"/>
    <n v="17.594999999999999"/>
    <n v="369.495"/>
    <x v="85"/>
    <d v="1899-12-30T19:06:00"/>
    <x v="2"/>
    <n v="351.9"/>
    <n v="4.7619047620000003"/>
    <n v="17.594999999999999"/>
    <x v="3"/>
  </r>
  <r>
    <s v="883-17-4236"/>
    <s v="C"/>
    <x v="1"/>
    <x v="1"/>
    <s v="Female"/>
    <x v="3"/>
    <n v="14.39"/>
    <n v="2"/>
    <n v="1.4390000000000001"/>
    <n v="30.219000000000001"/>
    <x v="22"/>
    <d v="1899-12-30T19:44:00"/>
    <x v="2"/>
    <n v="28.78"/>
    <n v="4.7619047620000003"/>
    <n v="1.4390000000000001"/>
    <x v="8"/>
  </r>
  <r>
    <s v="290-68-2984"/>
    <s v="A"/>
    <x v="0"/>
    <x v="1"/>
    <s v="Male"/>
    <x v="2"/>
    <n v="23.75"/>
    <n v="4"/>
    <n v="4.75"/>
    <n v="99.75"/>
    <x v="32"/>
    <d v="1899-12-30T11:22:00"/>
    <x v="1"/>
    <n v="95"/>
    <n v="4.7619047620000003"/>
    <n v="4.75"/>
    <x v="53"/>
  </r>
  <r>
    <s v="704-11-6354"/>
    <s v="A"/>
    <x v="0"/>
    <x v="0"/>
    <s v="Male"/>
    <x v="2"/>
    <n v="58.9"/>
    <n v="8"/>
    <n v="23.56"/>
    <n v="494.76"/>
    <x v="47"/>
    <d v="1899-12-30T11:23:00"/>
    <x v="1"/>
    <n v="471.2"/>
    <n v="4.7619047620000003"/>
    <n v="23.56"/>
    <x v="60"/>
  </r>
  <r>
    <s v="110-48-7033"/>
    <s v="B"/>
    <x v="2"/>
    <x v="0"/>
    <s v="Male"/>
    <x v="5"/>
    <n v="32.619999999999997"/>
    <n v="4"/>
    <n v="6.524"/>
    <n v="137.00399999999999"/>
    <x v="71"/>
    <d v="1899-12-30T14:12:00"/>
    <x v="1"/>
    <n v="130.47999999999999"/>
    <n v="4.7619047620000003"/>
    <n v="6.524"/>
    <x v="54"/>
  </r>
  <r>
    <s v="366-93-0948"/>
    <s v="A"/>
    <x v="0"/>
    <x v="0"/>
    <s v="Male"/>
    <x v="1"/>
    <n v="66.349999999999994"/>
    <n v="1"/>
    <n v="3.3174999999999999"/>
    <n v="69.667500000000004"/>
    <x v="82"/>
    <d v="1899-12-30T10:46:00"/>
    <x v="2"/>
    <n v="66.349999999999994"/>
    <n v="4.7619047620000003"/>
    <n v="3.3174999999999999"/>
    <x v="58"/>
  </r>
  <r>
    <s v="729-09-9681"/>
    <s v="A"/>
    <x v="0"/>
    <x v="0"/>
    <s v="Male"/>
    <x v="2"/>
    <n v="25.91"/>
    <n v="6"/>
    <n v="7.7729999999999997"/>
    <n v="163.233"/>
    <x v="63"/>
    <d v="1899-12-30T10:16:00"/>
    <x v="0"/>
    <n v="155.46"/>
    <n v="4.7619047620000003"/>
    <n v="7.7729999999999997"/>
    <x v="44"/>
  </r>
  <r>
    <s v="151-16-1484"/>
    <s v="A"/>
    <x v="0"/>
    <x v="0"/>
    <s v="Male"/>
    <x v="1"/>
    <n v="32.25"/>
    <n v="4"/>
    <n v="6.45"/>
    <n v="135.44999999999999"/>
    <x v="77"/>
    <d v="1899-12-30T12:38:00"/>
    <x v="0"/>
    <n v="129"/>
    <n v="4.7619047620000003"/>
    <n v="6.45"/>
    <x v="35"/>
  </r>
  <r>
    <s v="380-94-4661"/>
    <s v="C"/>
    <x v="1"/>
    <x v="0"/>
    <s v="Male"/>
    <x v="1"/>
    <n v="65.94"/>
    <n v="4"/>
    <n v="13.188000000000001"/>
    <n v="276.94799999999998"/>
    <x v="13"/>
    <d v="1899-12-30T13:05:00"/>
    <x v="2"/>
    <n v="263.76"/>
    <n v="4.7619047620000003"/>
    <n v="13.188000000000001"/>
    <x v="16"/>
  </r>
  <r>
    <s v="850-41-9669"/>
    <s v="A"/>
    <x v="0"/>
    <x v="1"/>
    <s v="Female"/>
    <x v="1"/>
    <n v="75.06"/>
    <n v="9"/>
    <n v="33.777000000000001"/>
    <n v="709.31700000000001"/>
    <x v="35"/>
    <d v="1899-12-30T13:25:00"/>
    <x v="0"/>
    <n v="675.54"/>
    <n v="4.7619047620000003"/>
    <n v="33.777000000000001"/>
    <x v="56"/>
  </r>
  <r>
    <s v="821-07-3596"/>
    <s v="C"/>
    <x v="1"/>
    <x v="1"/>
    <s v="Female"/>
    <x v="5"/>
    <n v="16.45"/>
    <n v="4"/>
    <n v="3.29"/>
    <n v="69.09"/>
    <x v="37"/>
    <d v="1899-12-30T14:53:00"/>
    <x v="0"/>
    <n v="65.8"/>
    <n v="4.7619047620000003"/>
    <n v="3.29"/>
    <x v="32"/>
  </r>
  <r>
    <s v="655-85-5130"/>
    <s v="B"/>
    <x v="2"/>
    <x v="0"/>
    <s v="Female"/>
    <x v="5"/>
    <n v="38.299999999999997"/>
    <n v="4"/>
    <n v="7.66"/>
    <n v="160.86000000000001"/>
    <x v="45"/>
    <d v="1899-12-30T19:22:00"/>
    <x v="1"/>
    <n v="153.19999999999999"/>
    <n v="4.7619047620000003"/>
    <n v="7.66"/>
    <x v="14"/>
  </r>
  <r>
    <s v="447-15-7839"/>
    <s v="A"/>
    <x v="0"/>
    <x v="0"/>
    <s v="Female"/>
    <x v="3"/>
    <n v="22.24"/>
    <n v="10"/>
    <n v="11.12"/>
    <n v="233.52"/>
    <x v="57"/>
    <d v="1899-12-30T11:00:00"/>
    <x v="1"/>
    <n v="222.4"/>
    <n v="4.7619047620000003"/>
    <n v="11.12"/>
    <x v="50"/>
  </r>
  <r>
    <s v="154-74-7179"/>
    <s v="B"/>
    <x v="2"/>
    <x v="1"/>
    <s v="Male"/>
    <x v="3"/>
    <n v="54.45"/>
    <n v="1"/>
    <n v="2.7225000000000001"/>
    <n v="57.172499999999999"/>
    <x v="84"/>
    <d v="1899-12-30T19:24:00"/>
    <x v="0"/>
    <n v="54.45"/>
    <n v="4.7619047620000003"/>
    <n v="2.7225000000000001"/>
    <x v="30"/>
  </r>
  <r>
    <s v="253-12-6086"/>
    <s v="A"/>
    <x v="0"/>
    <x v="0"/>
    <s v="Female"/>
    <x v="3"/>
    <n v="98.4"/>
    <n v="7"/>
    <n v="34.44"/>
    <n v="723.24"/>
    <x v="41"/>
    <d v="1899-12-30T12:43:00"/>
    <x v="2"/>
    <n v="688.8"/>
    <n v="4.7619047620000003"/>
    <n v="34.44"/>
    <x v="44"/>
  </r>
  <r>
    <s v="808-65-0703"/>
    <s v="C"/>
    <x v="1"/>
    <x v="1"/>
    <s v="Male"/>
    <x v="2"/>
    <n v="35.47"/>
    <n v="4"/>
    <n v="7.0940000000000003"/>
    <n v="148.97399999999999"/>
    <x v="86"/>
    <d v="1899-12-30T17:22:00"/>
    <x v="2"/>
    <n v="141.88"/>
    <n v="4.7619047620000003"/>
    <n v="7.0940000000000003"/>
    <x v="16"/>
  </r>
  <r>
    <s v="571-94-0759"/>
    <s v="B"/>
    <x v="2"/>
    <x v="0"/>
    <s v="Female"/>
    <x v="4"/>
    <n v="74.599999999999994"/>
    <n v="10"/>
    <n v="37.299999999999997"/>
    <n v="783.3"/>
    <x v="66"/>
    <d v="1899-12-30T20:55:00"/>
    <x v="1"/>
    <n v="746"/>
    <n v="4.7619047620000003"/>
    <n v="37.299999999999997"/>
    <x v="33"/>
  </r>
  <r>
    <s v="144-51-6085"/>
    <s v="A"/>
    <x v="0"/>
    <x v="0"/>
    <s v="Male"/>
    <x v="2"/>
    <n v="70.739999999999995"/>
    <n v="4"/>
    <n v="14.148"/>
    <n v="297.108"/>
    <x v="0"/>
    <d v="1899-12-30T16:05:00"/>
    <x v="2"/>
    <n v="282.95999999999998"/>
    <n v="4.7619047620000003"/>
    <n v="14.148"/>
    <x v="18"/>
  </r>
  <r>
    <s v="731-14-2199"/>
    <s v="A"/>
    <x v="0"/>
    <x v="0"/>
    <s v="Female"/>
    <x v="2"/>
    <n v="35.54"/>
    <n v="10"/>
    <n v="17.77"/>
    <n v="373.17"/>
    <x v="72"/>
    <d v="1899-12-30T13:34:00"/>
    <x v="0"/>
    <n v="355.4"/>
    <n v="4.7619047620000003"/>
    <n v="17.77"/>
    <x v="27"/>
  </r>
  <r>
    <s v="783-09-1637"/>
    <s v="B"/>
    <x v="2"/>
    <x v="1"/>
    <s v="Female"/>
    <x v="3"/>
    <n v="67.430000000000007"/>
    <n v="5"/>
    <n v="16.857500000000002"/>
    <n v="354.00749999999999"/>
    <x v="43"/>
    <d v="1899-12-30T18:13:00"/>
    <x v="0"/>
    <n v="337.15"/>
    <n v="4.7619047620000003"/>
    <n v="16.857500000000002"/>
    <x v="31"/>
  </r>
  <r>
    <s v="687-15-1097"/>
    <s v="C"/>
    <x v="1"/>
    <x v="0"/>
    <s v="Female"/>
    <x v="0"/>
    <n v="21.12"/>
    <n v="2"/>
    <n v="2.1120000000000001"/>
    <n v="44.351999999999997"/>
    <x v="75"/>
    <d v="1899-12-30T19:17:00"/>
    <x v="1"/>
    <n v="42.24"/>
    <n v="4.7619047620000003"/>
    <n v="2.1120000000000001"/>
    <x v="58"/>
  </r>
  <r>
    <s v="126-54-1082"/>
    <s v="A"/>
    <x v="0"/>
    <x v="0"/>
    <s v="Female"/>
    <x v="2"/>
    <n v="21.54"/>
    <n v="9"/>
    <n v="9.6929999999999996"/>
    <n v="203.553"/>
    <x v="27"/>
    <d v="1899-12-30T11:44:00"/>
    <x v="2"/>
    <n v="193.86"/>
    <n v="4.7619047620000003"/>
    <n v="9.6929999999999996"/>
    <x v="55"/>
  </r>
  <r>
    <s v="633-91-1052"/>
    <s v="A"/>
    <x v="0"/>
    <x v="1"/>
    <s v="Female"/>
    <x v="2"/>
    <n v="12.03"/>
    <n v="2"/>
    <n v="1.2030000000000001"/>
    <n v="25.263000000000002"/>
    <x v="3"/>
    <d v="1899-12-30T15:51:00"/>
    <x v="1"/>
    <n v="24.06"/>
    <n v="4.7619047620000003"/>
    <n v="1.2030000000000001"/>
    <x v="20"/>
  </r>
  <r>
    <s v="477-24-6490"/>
    <s v="B"/>
    <x v="2"/>
    <x v="1"/>
    <s v="Female"/>
    <x v="0"/>
    <n v="99.71"/>
    <n v="6"/>
    <n v="29.913"/>
    <n v="628.173"/>
    <x v="84"/>
    <d v="1899-12-30T16:52:00"/>
    <x v="0"/>
    <n v="598.26"/>
    <n v="4.7619047620000003"/>
    <n v="29.913"/>
    <x v="30"/>
  </r>
  <r>
    <s v="566-19-5475"/>
    <s v="B"/>
    <x v="2"/>
    <x v="1"/>
    <s v="Male"/>
    <x v="5"/>
    <n v="47.97"/>
    <n v="7"/>
    <n v="16.7895"/>
    <n v="352.5795"/>
    <x v="27"/>
    <d v="1899-12-30T20:52:00"/>
    <x v="1"/>
    <n v="335.79"/>
    <n v="4.7619047620000003"/>
    <n v="16.7895"/>
    <x v="56"/>
  </r>
  <r>
    <s v="526-86-8552"/>
    <s v="C"/>
    <x v="1"/>
    <x v="0"/>
    <s v="Female"/>
    <x v="2"/>
    <n v="21.82"/>
    <n v="10"/>
    <n v="10.91"/>
    <n v="229.11"/>
    <x v="27"/>
    <d v="1899-12-30T17:36:00"/>
    <x v="1"/>
    <n v="218.2"/>
    <n v="4.7619047620000003"/>
    <n v="10.91"/>
    <x v="12"/>
  </r>
  <r>
    <s v="376-56-3573"/>
    <s v="C"/>
    <x v="1"/>
    <x v="1"/>
    <s v="Female"/>
    <x v="5"/>
    <n v="95.42"/>
    <n v="4"/>
    <n v="19.084"/>
    <n v="400.76400000000001"/>
    <x v="30"/>
    <d v="1899-12-30T13:23:00"/>
    <x v="0"/>
    <n v="381.68"/>
    <n v="4.7619047620000003"/>
    <n v="19.084"/>
    <x v="41"/>
  </r>
  <r>
    <s v="537-72-0426"/>
    <s v="C"/>
    <x v="1"/>
    <x v="0"/>
    <s v="Male"/>
    <x v="5"/>
    <n v="70.989999999999995"/>
    <n v="10"/>
    <n v="35.494999999999997"/>
    <n v="745.39499999999998"/>
    <x v="80"/>
    <d v="1899-12-30T16:28:00"/>
    <x v="1"/>
    <n v="709.9"/>
    <n v="4.7619047620000003"/>
    <n v="35.494999999999997"/>
    <x v="14"/>
  </r>
  <r>
    <s v="828-61-5674"/>
    <s v="A"/>
    <x v="0"/>
    <x v="0"/>
    <s v="Male"/>
    <x v="3"/>
    <n v="44.02"/>
    <n v="10"/>
    <n v="22.01"/>
    <n v="462.21"/>
    <x v="80"/>
    <d v="1899-12-30T19:57:00"/>
    <x v="2"/>
    <n v="440.2"/>
    <n v="4.7619047620000003"/>
    <n v="22.01"/>
    <x v="1"/>
  </r>
  <r>
    <s v="136-08-6195"/>
    <s v="A"/>
    <x v="0"/>
    <x v="1"/>
    <s v="Female"/>
    <x v="2"/>
    <n v="69.959999999999994"/>
    <n v="8"/>
    <n v="27.984000000000002"/>
    <n v="587.66399999999999"/>
    <x v="42"/>
    <d v="1899-12-30T17:01:00"/>
    <x v="2"/>
    <n v="559.67999999999995"/>
    <n v="4.7619047620000003"/>
    <n v="27.984000000000002"/>
    <x v="41"/>
  </r>
  <r>
    <s v="523-38-0215"/>
    <s v="C"/>
    <x v="1"/>
    <x v="1"/>
    <s v="Male"/>
    <x v="2"/>
    <n v="37"/>
    <n v="1"/>
    <n v="1.85"/>
    <n v="38.85"/>
    <x v="43"/>
    <d v="1899-12-30T13:29:00"/>
    <x v="2"/>
    <n v="37"/>
    <n v="4.7619047620000003"/>
    <n v="1.85"/>
    <x v="30"/>
  </r>
  <r>
    <s v="490-29-1201"/>
    <s v="A"/>
    <x v="0"/>
    <x v="1"/>
    <s v="Female"/>
    <x v="3"/>
    <n v="15.34"/>
    <n v="1"/>
    <n v="0.76700000000000002"/>
    <n v="16.106999999999999"/>
    <x v="47"/>
    <d v="1899-12-30T11:09:00"/>
    <x v="1"/>
    <n v="15.34"/>
    <n v="4.7619047620000003"/>
    <n v="0.76700000000000002"/>
    <x v="35"/>
  </r>
  <r>
    <s v="667-92-0055"/>
    <s v="A"/>
    <x v="0"/>
    <x v="0"/>
    <s v="Male"/>
    <x v="0"/>
    <n v="99.83"/>
    <n v="6"/>
    <n v="29.949000000000002"/>
    <n v="628.92899999999997"/>
    <x v="31"/>
    <d v="1899-12-30T15:02:00"/>
    <x v="0"/>
    <n v="598.98"/>
    <n v="4.7619047620000003"/>
    <n v="29.949000000000002"/>
    <x v="23"/>
  </r>
  <r>
    <s v="565-17-3836"/>
    <s v="A"/>
    <x v="0"/>
    <x v="0"/>
    <s v="Female"/>
    <x v="0"/>
    <n v="47.67"/>
    <n v="4"/>
    <n v="9.5340000000000007"/>
    <n v="200.214"/>
    <x v="41"/>
    <d v="1899-12-30T14:21:00"/>
    <x v="1"/>
    <n v="190.68"/>
    <n v="4.7619047620000003"/>
    <n v="9.5340000000000007"/>
    <x v="0"/>
  </r>
  <r>
    <s v="498-41-1961"/>
    <s v="B"/>
    <x v="2"/>
    <x v="1"/>
    <s v="Male"/>
    <x v="0"/>
    <n v="66.680000000000007"/>
    <n v="5"/>
    <n v="16.670000000000002"/>
    <n v="350.07"/>
    <x v="9"/>
    <d v="1899-12-30T18:01:00"/>
    <x v="1"/>
    <n v="333.4"/>
    <n v="4.7619047620000003"/>
    <n v="16.670000000000002"/>
    <x v="29"/>
  </r>
  <r>
    <s v="593-95-4461"/>
    <s v="C"/>
    <x v="1"/>
    <x v="0"/>
    <s v="Male"/>
    <x v="2"/>
    <n v="74.86"/>
    <n v="1"/>
    <n v="3.7429999999999999"/>
    <n v="78.602999999999994"/>
    <x v="62"/>
    <d v="1899-12-30T14:49:00"/>
    <x v="1"/>
    <n v="74.86"/>
    <n v="4.7619047620000003"/>
    <n v="3.7429999999999999"/>
    <x v="16"/>
  </r>
  <r>
    <s v="226-71-3580"/>
    <s v="C"/>
    <x v="1"/>
    <x v="1"/>
    <s v="Female"/>
    <x v="3"/>
    <n v="23.75"/>
    <n v="9"/>
    <n v="10.6875"/>
    <n v="224.4375"/>
    <x v="82"/>
    <d v="1899-12-30T12:02:00"/>
    <x v="1"/>
    <n v="213.75"/>
    <n v="4.7619047620000003"/>
    <n v="10.6875"/>
    <x v="33"/>
  </r>
  <r>
    <s v="283-79-9594"/>
    <s v="B"/>
    <x v="2"/>
    <x v="1"/>
    <s v="Female"/>
    <x v="4"/>
    <n v="48.51"/>
    <n v="7"/>
    <n v="16.9785"/>
    <n v="356.54849999999999"/>
    <x v="25"/>
    <d v="1899-12-30T13:30:00"/>
    <x v="2"/>
    <n v="339.57"/>
    <n v="4.7619047620000003"/>
    <n v="16.9785"/>
    <x v="53"/>
  </r>
  <r>
    <s v="430-60-3493"/>
    <s v="A"/>
    <x v="0"/>
    <x v="0"/>
    <s v="Female"/>
    <x v="2"/>
    <n v="94.88"/>
    <n v="7"/>
    <n v="33.207999999999998"/>
    <n v="697.36800000000005"/>
    <x v="36"/>
    <d v="1899-12-30T14:38:00"/>
    <x v="1"/>
    <n v="664.16"/>
    <n v="4.7619047620000003"/>
    <n v="33.207999999999998"/>
    <x v="50"/>
  </r>
  <r>
    <s v="139-20-0155"/>
    <s v="B"/>
    <x v="2"/>
    <x v="0"/>
    <s v="Male"/>
    <x v="1"/>
    <n v="40.299999999999997"/>
    <n v="10"/>
    <n v="20.149999999999999"/>
    <n v="423.15"/>
    <x v="46"/>
    <d v="1899-12-30T17:37:00"/>
    <x v="2"/>
    <n v="403"/>
    <n v="4.7619047620000003"/>
    <n v="20.149999999999999"/>
    <x v="27"/>
  </r>
  <r>
    <s v="558-80-4082"/>
    <s v="C"/>
    <x v="1"/>
    <x v="1"/>
    <s v="Male"/>
    <x v="1"/>
    <n v="27.85"/>
    <n v="7"/>
    <n v="9.7475000000000005"/>
    <n v="204.69749999999999"/>
    <x v="86"/>
    <d v="1899-12-30T17:20:00"/>
    <x v="0"/>
    <n v="194.95"/>
    <n v="4.7619047620000003"/>
    <n v="9.7475000000000005"/>
    <x v="22"/>
  </r>
  <r>
    <s v="278-97-7759"/>
    <s v="A"/>
    <x v="0"/>
    <x v="0"/>
    <s v="Female"/>
    <x v="1"/>
    <n v="62.48"/>
    <n v="1"/>
    <n v="3.1240000000000001"/>
    <n v="65.603999999999999"/>
    <x v="67"/>
    <d v="1899-12-30T20:29:00"/>
    <x v="1"/>
    <n v="62.48"/>
    <n v="4.7619047620000003"/>
    <n v="3.1240000000000001"/>
    <x v="28"/>
  </r>
  <r>
    <s v="316-68-6352"/>
    <s v="A"/>
    <x v="0"/>
    <x v="0"/>
    <s v="Female"/>
    <x v="4"/>
    <n v="36.36"/>
    <n v="2"/>
    <n v="3.6360000000000001"/>
    <n v="76.355999999999995"/>
    <x v="18"/>
    <d v="1899-12-30T10:00:00"/>
    <x v="1"/>
    <n v="72.72"/>
    <n v="4.7619047620000003"/>
    <n v="3.6360000000000001"/>
    <x v="12"/>
  </r>
  <r>
    <s v="585-03-5943"/>
    <s v="B"/>
    <x v="2"/>
    <x v="1"/>
    <s v="Male"/>
    <x v="0"/>
    <n v="18.11"/>
    <n v="10"/>
    <n v="9.0549999999999997"/>
    <n v="190.155"/>
    <x v="45"/>
    <d v="1899-12-30T11:46:00"/>
    <x v="0"/>
    <n v="181.1"/>
    <n v="4.7619047620000003"/>
    <n v="9.0549999999999997"/>
    <x v="9"/>
  </r>
  <r>
    <s v="211-05-0490"/>
    <s v="C"/>
    <x v="1"/>
    <x v="0"/>
    <s v="Female"/>
    <x v="1"/>
    <n v="51.92"/>
    <n v="5"/>
    <n v="12.98"/>
    <n v="272.58"/>
    <x v="2"/>
    <d v="1899-12-30T13:42:00"/>
    <x v="1"/>
    <n v="259.60000000000002"/>
    <n v="4.7619047620000003"/>
    <n v="12.98"/>
    <x v="26"/>
  </r>
  <r>
    <s v="727-75-6477"/>
    <s v="C"/>
    <x v="1"/>
    <x v="1"/>
    <s v="Male"/>
    <x v="1"/>
    <n v="28.84"/>
    <n v="4"/>
    <n v="5.7679999999999998"/>
    <n v="121.128"/>
    <x v="14"/>
    <d v="1899-12-30T14:44:00"/>
    <x v="1"/>
    <n v="115.36"/>
    <n v="4.7619047620000003"/>
    <n v="5.7679999999999998"/>
    <x v="41"/>
  </r>
  <r>
    <s v="744-02-5987"/>
    <s v="A"/>
    <x v="0"/>
    <x v="0"/>
    <s v="Male"/>
    <x v="2"/>
    <n v="78.38"/>
    <n v="6"/>
    <n v="23.513999999999999"/>
    <n v="493.79399999999998"/>
    <x v="8"/>
    <d v="1899-12-30T14:16:00"/>
    <x v="0"/>
    <n v="470.28"/>
    <n v="4.7619047620000003"/>
    <n v="23.513999999999999"/>
    <x v="6"/>
  </r>
  <r>
    <s v="307-83-9164"/>
    <s v="A"/>
    <x v="0"/>
    <x v="0"/>
    <s v="Male"/>
    <x v="2"/>
    <n v="60.01"/>
    <n v="4"/>
    <n v="12.002000000000001"/>
    <n v="252.042"/>
    <x v="25"/>
    <d v="1899-12-30T15:54:00"/>
    <x v="1"/>
    <n v="240.04"/>
    <n v="4.7619047620000003"/>
    <n v="12.002000000000001"/>
    <x v="10"/>
  </r>
  <r>
    <s v="779-06-0012"/>
    <s v="C"/>
    <x v="1"/>
    <x v="0"/>
    <s v="Female"/>
    <x v="2"/>
    <n v="88.61"/>
    <n v="1"/>
    <n v="4.4305000000000003"/>
    <n v="93.040499999999994"/>
    <x v="64"/>
    <d v="1899-12-30T10:21:00"/>
    <x v="1"/>
    <n v="88.61"/>
    <n v="4.7619047620000003"/>
    <n v="4.4305000000000003"/>
    <x v="25"/>
  </r>
  <r>
    <s v="446-47-6729"/>
    <s v="C"/>
    <x v="1"/>
    <x v="1"/>
    <s v="Male"/>
    <x v="5"/>
    <n v="99.82"/>
    <n v="2"/>
    <n v="9.9819999999999993"/>
    <n v="209.62200000000001"/>
    <x v="56"/>
    <d v="1899-12-30T18:09:00"/>
    <x v="2"/>
    <n v="199.64"/>
    <n v="4.7619047620000003"/>
    <n v="9.9819999999999993"/>
    <x v="24"/>
  </r>
  <r>
    <s v="573-10-3877"/>
    <s v="B"/>
    <x v="2"/>
    <x v="0"/>
    <s v="Male"/>
    <x v="0"/>
    <n v="39.01"/>
    <n v="1"/>
    <n v="1.9504999999999999"/>
    <n v="40.960500000000003"/>
    <x v="41"/>
    <d v="1899-12-30T16:46:00"/>
    <x v="2"/>
    <n v="39.01"/>
    <n v="4.7619047620000003"/>
    <n v="1.9504999999999999"/>
    <x v="28"/>
  </r>
  <r>
    <s v="735-06-4124"/>
    <s v="C"/>
    <x v="1"/>
    <x v="1"/>
    <s v="Male"/>
    <x v="4"/>
    <n v="48.61"/>
    <n v="1"/>
    <n v="2.4304999999999999"/>
    <n v="51.040500000000002"/>
    <x v="6"/>
    <d v="1899-12-30T15:31:00"/>
    <x v="1"/>
    <n v="48.61"/>
    <n v="4.7619047620000003"/>
    <n v="2.4304999999999999"/>
    <x v="18"/>
  </r>
  <r>
    <s v="439-54-7422"/>
    <s v="A"/>
    <x v="0"/>
    <x v="1"/>
    <s v="Female"/>
    <x v="1"/>
    <n v="51.19"/>
    <n v="4"/>
    <n v="10.238"/>
    <n v="214.99799999999999"/>
    <x v="79"/>
    <d v="1899-12-30T17:15:00"/>
    <x v="2"/>
    <n v="204.76"/>
    <n v="4.7619047620000003"/>
    <n v="10.238"/>
    <x v="28"/>
  </r>
  <r>
    <s v="396-90-2219"/>
    <s v="B"/>
    <x v="2"/>
    <x v="1"/>
    <s v="Female"/>
    <x v="1"/>
    <n v="14.96"/>
    <n v="8"/>
    <n v="5.984"/>
    <n v="125.664"/>
    <x v="55"/>
    <d v="1899-12-30T12:29:00"/>
    <x v="1"/>
    <n v="119.68"/>
    <n v="4.7619047620000003"/>
    <n v="5.984"/>
    <x v="17"/>
  </r>
  <r>
    <s v="411-77-0180"/>
    <s v="A"/>
    <x v="0"/>
    <x v="0"/>
    <s v="Male"/>
    <x v="1"/>
    <n v="72.2"/>
    <n v="7"/>
    <n v="25.27"/>
    <n v="530.66999999999996"/>
    <x v="58"/>
    <d v="1899-12-30T20:14:00"/>
    <x v="0"/>
    <n v="505.4"/>
    <n v="4.7619047620000003"/>
    <n v="25.27"/>
    <x v="42"/>
  </r>
  <r>
    <s v="286-01-5402"/>
    <s v="A"/>
    <x v="0"/>
    <x v="1"/>
    <s v="Female"/>
    <x v="3"/>
    <n v="40.229999999999997"/>
    <n v="7"/>
    <n v="14.080500000000001"/>
    <n v="295.69049999999999"/>
    <x v="73"/>
    <d v="1899-12-30T13:22:00"/>
    <x v="1"/>
    <n v="281.61"/>
    <n v="4.7619047620000003"/>
    <n v="14.080500000000001"/>
    <x v="1"/>
  </r>
  <r>
    <s v="803-17-8013"/>
    <s v="A"/>
    <x v="0"/>
    <x v="0"/>
    <s v="Female"/>
    <x v="2"/>
    <n v="88.79"/>
    <n v="8"/>
    <n v="35.515999999999998"/>
    <n v="745.83600000000001"/>
    <x v="21"/>
    <d v="1899-12-30T17:09:00"/>
    <x v="1"/>
    <n v="710.32"/>
    <n v="4.7619047620000003"/>
    <n v="35.515999999999998"/>
    <x v="5"/>
  </r>
  <r>
    <s v="512-98-1403"/>
    <s v="A"/>
    <x v="0"/>
    <x v="0"/>
    <s v="Female"/>
    <x v="1"/>
    <n v="26.48"/>
    <n v="3"/>
    <n v="3.972"/>
    <n v="83.412000000000006"/>
    <x v="76"/>
    <d v="1899-12-30T10:40:00"/>
    <x v="0"/>
    <n v="79.44"/>
    <n v="4.7619047620000003"/>
    <n v="3.972"/>
    <x v="28"/>
  </r>
  <r>
    <s v="848-42-2560"/>
    <s v="A"/>
    <x v="0"/>
    <x v="1"/>
    <s v="Female"/>
    <x v="5"/>
    <n v="81.91"/>
    <n v="2"/>
    <n v="8.1910000000000007"/>
    <n v="172.011"/>
    <x v="19"/>
    <d v="1899-12-30T17:43:00"/>
    <x v="1"/>
    <n v="163.82"/>
    <n v="4.7619047620000003"/>
    <n v="8.1910000000000007"/>
    <x v="52"/>
  </r>
  <r>
    <s v="532-59-7201"/>
    <s v="B"/>
    <x v="2"/>
    <x v="0"/>
    <s v="Male"/>
    <x v="3"/>
    <n v="79.930000000000007"/>
    <n v="6"/>
    <n v="23.978999999999999"/>
    <n v="503.55900000000003"/>
    <x v="82"/>
    <d v="1899-12-30T14:04:00"/>
    <x v="1"/>
    <n v="479.58"/>
    <n v="4.7619047620000003"/>
    <n v="23.978999999999999"/>
    <x v="46"/>
  </r>
  <r>
    <s v="181-94-6432"/>
    <s v="C"/>
    <x v="1"/>
    <x v="0"/>
    <s v="Male"/>
    <x v="5"/>
    <n v="69.33"/>
    <n v="2"/>
    <n v="6.9329999999999998"/>
    <n v="145.59299999999999"/>
    <x v="63"/>
    <d v="1899-12-30T19:05:00"/>
    <x v="0"/>
    <n v="138.66"/>
    <n v="4.7619047620000003"/>
    <n v="6.9329999999999998"/>
    <x v="58"/>
  </r>
  <r>
    <s v="870-76-1733"/>
    <s v="A"/>
    <x v="0"/>
    <x v="0"/>
    <s v="Female"/>
    <x v="4"/>
    <n v="14.23"/>
    <n v="5"/>
    <n v="3.5575000000000001"/>
    <n v="74.707499999999996"/>
    <x v="60"/>
    <d v="1899-12-30T10:08:00"/>
    <x v="2"/>
    <n v="71.150000000000006"/>
    <n v="4.7619047620000003"/>
    <n v="3.5575000000000001"/>
    <x v="18"/>
  </r>
  <r>
    <s v="423-64-4619"/>
    <s v="A"/>
    <x v="0"/>
    <x v="0"/>
    <s v="Female"/>
    <x v="0"/>
    <n v="15.55"/>
    <n v="9"/>
    <n v="6.9974999999999996"/>
    <n v="146.94749999999999"/>
    <x v="37"/>
    <d v="1899-12-30T13:12:00"/>
    <x v="1"/>
    <n v="139.94999999999999"/>
    <n v="4.7619047620000003"/>
    <n v="6.9974999999999996"/>
    <x v="59"/>
  </r>
  <r>
    <s v="227-07-4446"/>
    <s v="C"/>
    <x v="1"/>
    <x v="0"/>
    <s v="Female"/>
    <x v="1"/>
    <n v="78.13"/>
    <n v="10"/>
    <n v="39.064999999999998"/>
    <n v="820.36500000000001"/>
    <x v="34"/>
    <d v="1899-12-30T20:51:00"/>
    <x v="1"/>
    <n v="781.3"/>
    <n v="4.7619047620000003"/>
    <n v="39.064999999999998"/>
    <x v="18"/>
  </r>
  <r>
    <s v="174-36-3675"/>
    <s v="C"/>
    <x v="1"/>
    <x v="0"/>
    <s v="Male"/>
    <x v="4"/>
    <n v="99.37"/>
    <n v="2"/>
    <n v="9.9369999999999994"/>
    <n v="208.67699999999999"/>
    <x v="44"/>
    <d v="1899-12-30T17:29:00"/>
    <x v="1"/>
    <n v="198.74"/>
    <n v="4.7619047620000003"/>
    <n v="9.9369999999999994"/>
    <x v="53"/>
  </r>
  <r>
    <s v="428-83-5800"/>
    <s v="C"/>
    <x v="1"/>
    <x v="0"/>
    <s v="Female"/>
    <x v="4"/>
    <n v="21.08"/>
    <n v="3"/>
    <n v="3.1619999999999999"/>
    <n v="66.402000000000001"/>
    <x v="57"/>
    <d v="1899-12-30T10:25:00"/>
    <x v="1"/>
    <n v="63.24"/>
    <n v="4.7619047620000003"/>
    <n v="3.1619999999999999"/>
    <x v="48"/>
  </r>
  <r>
    <s v="603-07-0961"/>
    <s v="C"/>
    <x v="1"/>
    <x v="0"/>
    <s v="Male"/>
    <x v="1"/>
    <n v="74.790000000000006"/>
    <n v="5"/>
    <n v="18.697500000000002"/>
    <n v="392.64749999999998"/>
    <x v="8"/>
    <d v="1899-12-30T11:34:00"/>
    <x v="1"/>
    <n v="373.95"/>
    <n v="4.7619047620000003"/>
    <n v="18.697500000000002"/>
    <x v="49"/>
  </r>
  <r>
    <s v="704-20-4138"/>
    <s v="C"/>
    <x v="1"/>
    <x v="0"/>
    <s v="Female"/>
    <x v="0"/>
    <n v="29.67"/>
    <n v="7"/>
    <n v="10.384499999999999"/>
    <n v="218.0745"/>
    <x v="16"/>
    <d v="1899-12-30T18:58:00"/>
    <x v="2"/>
    <n v="207.69"/>
    <n v="4.7619047620000003"/>
    <n v="10.384499999999999"/>
    <x v="34"/>
  </r>
  <r>
    <s v="787-15-1757"/>
    <s v="C"/>
    <x v="1"/>
    <x v="0"/>
    <s v="Male"/>
    <x v="0"/>
    <n v="44.07"/>
    <n v="4"/>
    <n v="8.8140000000000001"/>
    <n v="185.09399999999999"/>
    <x v="67"/>
    <d v="1899-12-30T16:28:00"/>
    <x v="0"/>
    <n v="176.28"/>
    <n v="4.7619047620000003"/>
    <n v="8.8140000000000001"/>
    <x v="3"/>
  </r>
  <r>
    <s v="649-11-3678"/>
    <s v="C"/>
    <x v="1"/>
    <x v="1"/>
    <s v="Female"/>
    <x v="4"/>
    <n v="22.93"/>
    <n v="9"/>
    <n v="10.3185"/>
    <n v="216.6885"/>
    <x v="84"/>
    <d v="1899-12-30T20:26:00"/>
    <x v="1"/>
    <n v="206.37"/>
    <n v="4.7619047620000003"/>
    <n v="10.3185"/>
    <x v="46"/>
  </r>
  <r>
    <s v="622-20-1945"/>
    <s v="C"/>
    <x v="1"/>
    <x v="1"/>
    <s v="Female"/>
    <x v="0"/>
    <n v="39.42"/>
    <n v="1"/>
    <n v="1.9710000000000001"/>
    <n v="41.390999999999998"/>
    <x v="68"/>
    <d v="1899-12-30T15:08:00"/>
    <x v="1"/>
    <n v="39.42"/>
    <n v="4.7619047620000003"/>
    <n v="1.9710000000000001"/>
    <x v="3"/>
  </r>
  <r>
    <s v="372-94-8041"/>
    <s v="A"/>
    <x v="0"/>
    <x v="1"/>
    <s v="Male"/>
    <x v="0"/>
    <n v="15.26"/>
    <n v="6"/>
    <n v="4.5780000000000003"/>
    <n v="96.138000000000005"/>
    <x v="42"/>
    <d v="1899-12-30T18:03:00"/>
    <x v="0"/>
    <n v="91.56"/>
    <n v="4.7619047620000003"/>
    <n v="4.5780000000000003"/>
    <x v="57"/>
  </r>
  <r>
    <s v="563-91-7120"/>
    <s v="A"/>
    <x v="0"/>
    <x v="1"/>
    <s v="Female"/>
    <x v="5"/>
    <n v="61.77"/>
    <n v="5"/>
    <n v="15.442500000000001"/>
    <n v="324.29250000000002"/>
    <x v="1"/>
    <d v="1899-12-30T13:21:00"/>
    <x v="1"/>
    <n v="308.85000000000002"/>
    <n v="4.7619047620000003"/>
    <n v="15.442500000000001"/>
    <x v="24"/>
  </r>
  <r>
    <s v="746-54-5508"/>
    <s v="A"/>
    <x v="0"/>
    <x v="1"/>
    <s v="Male"/>
    <x v="2"/>
    <n v="21.52"/>
    <n v="6"/>
    <n v="6.4560000000000004"/>
    <n v="135.57599999999999"/>
    <x v="29"/>
    <d v="1899-12-30T12:48:00"/>
    <x v="2"/>
    <n v="129.12"/>
    <n v="4.7619047620000003"/>
    <n v="6.4560000000000004"/>
    <x v="45"/>
  </r>
  <r>
    <s v="276-54-0879"/>
    <s v="B"/>
    <x v="2"/>
    <x v="1"/>
    <s v="Male"/>
    <x v="3"/>
    <n v="97.74"/>
    <n v="4"/>
    <n v="19.547999999999998"/>
    <n v="410.50799999999998"/>
    <x v="41"/>
    <d v="1899-12-30T19:53:00"/>
    <x v="0"/>
    <n v="390.96"/>
    <n v="4.7619047620000003"/>
    <n v="19.547999999999998"/>
    <x v="41"/>
  </r>
  <r>
    <s v="815-11-1168"/>
    <s v="A"/>
    <x v="0"/>
    <x v="0"/>
    <s v="Male"/>
    <x v="4"/>
    <n v="99.78"/>
    <n v="5"/>
    <n v="24.945"/>
    <n v="523.84500000000003"/>
    <x v="11"/>
    <d v="1899-12-30T19:09:00"/>
    <x v="1"/>
    <n v="498.9"/>
    <n v="4.7619047620000003"/>
    <n v="24.945"/>
    <x v="38"/>
  </r>
  <r>
    <s v="719-76-3868"/>
    <s v="C"/>
    <x v="1"/>
    <x v="0"/>
    <s v="Male"/>
    <x v="4"/>
    <n v="94.26"/>
    <n v="4"/>
    <n v="18.852"/>
    <n v="395.892"/>
    <x v="41"/>
    <d v="1899-12-30T16:30:00"/>
    <x v="1"/>
    <n v="377.04"/>
    <n v="4.7619047620000003"/>
    <n v="18.852"/>
    <x v="17"/>
  </r>
  <r>
    <s v="730-61-8757"/>
    <s v="B"/>
    <x v="2"/>
    <x v="0"/>
    <s v="Male"/>
    <x v="0"/>
    <n v="51.13"/>
    <n v="4"/>
    <n v="10.226000000000001"/>
    <n v="214.74600000000001"/>
    <x v="25"/>
    <d v="1899-12-30T10:11:00"/>
    <x v="2"/>
    <n v="204.52"/>
    <n v="4.7619047620000003"/>
    <n v="10.226000000000001"/>
    <x v="43"/>
  </r>
  <r>
    <s v="340-66-0321"/>
    <s v="A"/>
    <x v="0"/>
    <x v="0"/>
    <s v="Male"/>
    <x v="1"/>
    <n v="36.36"/>
    <n v="4"/>
    <n v="7.2720000000000002"/>
    <n v="152.71199999999999"/>
    <x v="5"/>
    <d v="1899-12-30T13:07:00"/>
    <x v="1"/>
    <n v="145.44"/>
    <n v="4.7619047620000003"/>
    <n v="7.2720000000000002"/>
    <x v="29"/>
  </r>
  <r>
    <s v="868-81-1752"/>
    <s v="B"/>
    <x v="2"/>
    <x v="1"/>
    <s v="Male"/>
    <x v="2"/>
    <n v="22.02"/>
    <n v="9"/>
    <n v="9.9090000000000007"/>
    <n v="208.089"/>
    <x v="13"/>
    <d v="1899-12-30T18:48:00"/>
    <x v="1"/>
    <n v="198.18"/>
    <n v="4.7619047620000003"/>
    <n v="9.9090000000000007"/>
    <x v="11"/>
  </r>
  <r>
    <s v="634-97-8956"/>
    <s v="A"/>
    <x v="0"/>
    <x v="1"/>
    <s v="Male"/>
    <x v="4"/>
    <n v="32.9"/>
    <n v="3"/>
    <n v="4.9349999999999996"/>
    <n v="103.63500000000001"/>
    <x v="21"/>
    <d v="1899-12-30T17:27:00"/>
    <x v="2"/>
    <n v="98.7"/>
    <n v="4.7619047620000003"/>
    <n v="4.9349999999999996"/>
    <x v="0"/>
  </r>
  <r>
    <s v="566-71-1091"/>
    <s v="A"/>
    <x v="0"/>
    <x v="1"/>
    <s v="Male"/>
    <x v="5"/>
    <n v="77.02"/>
    <n v="5"/>
    <n v="19.254999999999999"/>
    <n v="404.35500000000002"/>
    <x v="36"/>
    <d v="1899-12-30T15:59:00"/>
    <x v="1"/>
    <n v="385.1"/>
    <n v="4.7619047620000003"/>
    <n v="19.254999999999999"/>
    <x v="46"/>
  </r>
  <r>
    <s v="442-48-3607"/>
    <s v="A"/>
    <x v="0"/>
    <x v="0"/>
    <s v="Male"/>
    <x v="4"/>
    <n v="23.48"/>
    <n v="2"/>
    <n v="2.3479999999999999"/>
    <n v="49.308"/>
    <x v="86"/>
    <d v="1899-12-30T11:21:00"/>
    <x v="2"/>
    <n v="46.96"/>
    <n v="4.7619047620000003"/>
    <n v="2.3479999999999999"/>
    <x v="30"/>
  </r>
  <r>
    <s v="835-16-0096"/>
    <s v="C"/>
    <x v="1"/>
    <x v="0"/>
    <s v="Male"/>
    <x v="3"/>
    <n v="14.7"/>
    <n v="5"/>
    <n v="3.6749999999999998"/>
    <n v="77.174999999999997"/>
    <x v="62"/>
    <d v="1899-12-30T13:48:00"/>
    <x v="0"/>
    <n v="73.5"/>
    <n v="4.7619047620000003"/>
    <n v="3.6749999999999998"/>
    <x v="23"/>
  </r>
  <r>
    <s v="527-09-6272"/>
    <s v="A"/>
    <x v="0"/>
    <x v="0"/>
    <s v="Female"/>
    <x v="1"/>
    <n v="28.45"/>
    <n v="5"/>
    <n v="7.1124999999999998"/>
    <n v="149.36250000000001"/>
    <x v="76"/>
    <d v="1899-12-30T10:17:00"/>
    <x v="2"/>
    <n v="142.25"/>
    <n v="4.7619047620000003"/>
    <n v="7.1124999999999998"/>
    <x v="0"/>
  </r>
  <r>
    <s v="898-04-2717"/>
    <s v="A"/>
    <x v="0"/>
    <x v="1"/>
    <s v="Male"/>
    <x v="5"/>
    <n v="76.400000000000006"/>
    <n v="9"/>
    <n v="34.380000000000003"/>
    <n v="721.98"/>
    <x v="35"/>
    <d v="1899-12-30T15:49:00"/>
    <x v="0"/>
    <n v="687.6"/>
    <n v="4.7619047620000003"/>
    <n v="34.380000000000003"/>
    <x v="26"/>
  </r>
  <r>
    <s v="692-27-8933"/>
    <s v="B"/>
    <x v="2"/>
    <x v="1"/>
    <s v="Female"/>
    <x v="3"/>
    <n v="57.95"/>
    <n v="6"/>
    <n v="17.385000000000002"/>
    <n v="365.08499999999998"/>
    <x v="7"/>
    <d v="1899-12-30T13:02:00"/>
    <x v="1"/>
    <n v="347.7"/>
    <n v="4.7619047620000003"/>
    <n v="17.385000000000002"/>
    <x v="53"/>
  </r>
  <r>
    <s v="633-09-3463"/>
    <s v="C"/>
    <x v="1"/>
    <x v="1"/>
    <s v="Female"/>
    <x v="1"/>
    <n v="47.65"/>
    <n v="3"/>
    <n v="7.1475"/>
    <n v="150.0975"/>
    <x v="61"/>
    <d v="1899-12-30T12:58:00"/>
    <x v="2"/>
    <n v="142.94999999999999"/>
    <n v="4.7619047620000003"/>
    <n v="7.1475"/>
    <x v="33"/>
  </r>
  <r>
    <s v="374-17-3652"/>
    <s v="B"/>
    <x v="2"/>
    <x v="0"/>
    <s v="Female"/>
    <x v="4"/>
    <n v="42.82"/>
    <n v="9"/>
    <n v="19.268999999999998"/>
    <n v="404.649"/>
    <x v="63"/>
    <d v="1899-12-30T15:26:00"/>
    <x v="2"/>
    <n v="385.38"/>
    <n v="4.7619047620000003"/>
    <n v="19.268999999999998"/>
    <x v="60"/>
  </r>
  <r>
    <s v="378-07-7001"/>
    <s v="B"/>
    <x v="2"/>
    <x v="0"/>
    <s v="Male"/>
    <x v="1"/>
    <n v="48.09"/>
    <n v="3"/>
    <n v="7.2134999999999998"/>
    <n v="151.48349999999999"/>
    <x v="34"/>
    <d v="1899-12-30T18:23:00"/>
    <x v="2"/>
    <n v="144.27000000000001"/>
    <n v="4.7619047620000003"/>
    <n v="7.2134999999999998"/>
    <x v="52"/>
  </r>
  <r>
    <s v="433-75-6987"/>
    <s v="B"/>
    <x v="2"/>
    <x v="0"/>
    <s v="Female"/>
    <x v="0"/>
    <n v="55.97"/>
    <n v="7"/>
    <n v="19.589500000000001"/>
    <n v="411.37950000000001"/>
    <x v="19"/>
    <d v="1899-12-30T19:06:00"/>
    <x v="0"/>
    <n v="391.79"/>
    <n v="4.7619047620000003"/>
    <n v="19.589500000000001"/>
    <x v="60"/>
  </r>
  <r>
    <s v="873-95-4984"/>
    <s v="B"/>
    <x v="2"/>
    <x v="0"/>
    <s v="Female"/>
    <x v="0"/>
    <n v="76.900000000000006"/>
    <n v="7"/>
    <n v="26.914999999999999"/>
    <n v="565.21500000000003"/>
    <x v="42"/>
    <d v="1899-12-30T20:21:00"/>
    <x v="1"/>
    <n v="538.29999999999995"/>
    <n v="4.7619047620000003"/>
    <n v="26.914999999999999"/>
    <x v="25"/>
  </r>
  <r>
    <s v="416-13-5917"/>
    <s v="C"/>
    <x v="1"/>
    <x v="1"/>
    <s v="Female"/>
    <x v="4"/>
    <n v="97.03"/>
    <n v="5"/>
    <n v="24.2575"/>
    <n v="509.40750000000003"/>
    <x v="74"/>
    <d v="1899-12-30T16:24:00"/>
    <x v="0"/>
    <n v="485.15"/>
    <n v="4.7619047620000003"/>
    <n v="24.2575"/>
    <x v="39"/>
  </r>
  <r>
    <s v="150-89-8043"/>
    <s v="A"/>
    <x v="0"/>
    <x v="1"/>
    <s v="Male"/>
    <x v="3"/>
    <n v="44.65"/>
    <n v="3"/>
    <n v="6.6974999999999998"/>
    <n v="140.64750000000001"/>
    <x v="44"/>
    <d v="1899-12-30T15:04:00"/>
    <x v="1"/>
    <n v="133.94999999999999"/>
    <n v="4.7619047620000003"/>
    <n v="6.6974999999999998"/>
    <x v="56"/>
  </r>
  <r>
    <s v="135-84-8019"/>
    <s v="A"/>
    <x v="0"/>
    <x v="1"/>
    <s v="Female"/>
    <x v="5"/>
    <n v="77.930000000000007"/>
    <n v="9"/>
    <n v="35.0685"/>
    <n v="736.43849999999998"/>
    <x v="33"/>
    <d v="1899-12-30T16:10:00"/>
    <x v="0"/>
    <n v="701.37"/>
    <n v="4.7619047620000003"/>
    <n v="35.0685"/>
    <x v="29"/>
  </r>
  <r>
    <s v="441-94-7118"/>
    <s v="A"/>
    <x v="0"/>
    <x v="0"/>
    <s v="Male"/>
    <x v="1"/>
    <n v="71.95"/>
    <n v="1"/>
    <n v="3.5975000000000001"/>
    <n v="75.547499999999999"/>
    <x v="87"/>
    <d v="1899-12-30T12:14:00"/>
    <x v="1"/>
    <n v="71.95"/>
    <n v="4.7619047620000003"/>
    <n v="3.5975000000000001"/>
    <x v="48"/>
  </r>
  <r>
    <s v="725-96-3778"/>
    <s v="C"/>
    <x v="1"/>
    <x v="0"/>
    <s v="Female"/>
    <x v="2"/>
    <n v="89.25"/>
    <n v="8"/>
    <n v="35.700000000000003"/>
    <n v="749.7"/>
    <x v="40"/>
    <d v="1899-12-30T10:13:00"/>
    <x v="1"/>
    <n v="714"/>
    <n v="4.7619047620000003"/>
    <n v="35.700000000000003"/>
    <x v="28"/>
  </r>
  <r>
    <s v="531-80-1784"/>
    <s v="A"/>
    <x v="0"/>
    <x v="1"/>
    <s v="Male"/>
    <x v="1"/>
    <n v="26.02"/>
    <n v="7"/>
    <n v="9.1069999999999993"/>
    <n v="191.24700000000001"/>
    <x v="61"/>
    <d v="1899-12-30T17:38:00"/>
    <x v="1"/>
    <n v="182.14"/>
    <n v="4.7619047620000003"/>
    <n v="9.1069999999999993"/>
    <x v="20"/>
  </r>
  <r>
    <s v="400-45-1220"/>
    <s v="B"/>
    <x v="2"/>
    <x v="1"/>
    <s v="Female"/>
    <x v="0"/>
    <n v="13.5"/>
    <n v="10"/>
    <n v="6.75"/>
    <n v="141.75"/>
    <x v="33"/>
    <d v="1899-12-30T11:06:00"/>
    <x v="2"/>
    <n v="135"/>
    <n v="4.7619047620000003"/>
    <n v="6.75"/>
    <x v="19"/>
  </r>
  <r>
    <s v="860-79-0874"/>
    <s v="C"/>
    <x v="1"/>
    <x v="0"/>
    <s v="Female"/>
    <x v="5"/>
    <n v="99.3"/>
    <n v="10"/>
    <n v="49.65"/>
    <n v="1042.6500000000001"/>
    <x v="42"/>
    <d v="1899-12-30T14:53:00"/>
    <x v="2"/>
    <n v="993"/>
    <n v="4.7619047620000003"/>
    <n v="49.65"/>
    <x v="37"/>
  </r>
  <r>
    <s v="834-61-8124"/>
    <s v="A"/>
    <x v="0"/>
    <x v="1"/>
    <s v="Male"/>
    <x v="1"/>
    <n v="51.69"/>
    <n v="7"/>
    <n v="18.0915"/>
    <n v="379.92149999999998"/>
    <x v="53"/>
    <d v="1899-12-30T18:22:00"/>
    <x v="1"/>
    <n v="361.83"/>
    <n v="4.7619047620000003"/>
    <n v="18.0915"/>
    <x v="46"/>
  </r>
  <r>
    <s v="115-99-4379"/>
    <s v="B"/>
    <x v="2"/>
    <x v="0"/>
    <s v="Female"/>
    <x v="5"/>
    <n v="54.73"/>
    <n v="7"/>
    <n v="19.1555"/>
    <n v="402.26549999999997"/>
    <x v="86"/>
    <d v="1899-12-30T19:02:00"/>
    <x v="2"/>
    <n v="383.11"/>
    <n v="4.7619047620000003"/>
    <n v="19.1555"/>
    <x v="23"/>
  </r>
  <r>
    <s v="565-67-6697"/>
    <s v="B"/>
    <x v="2"/>
    <x v="0"/>
    <s v="Male"/>
    <x v="2"/>
    <n v="27"/>
    <n v="9"/>
    <n v="12.15"/>
    <n v="255.15"/>
    <x v="22"/>
    <d v="1899-12-30T14:16:00"/>
    <x v="1"/>
    <n v="243"/>
    <n v="4.7619047620000003"/>
    <n v="12.15"/>
    <x v="19"/>
  </r>
  <r>
    <s v="320-49-6392"/>
    <s v="C"/>
    <x v="1"/>
    <x v="1"/>
    <s v="Female"/>
    <x v="1"/>
    <n v="30.24"/>
    <n v="1"/>
    <n v="1.512"/>
    <n v="31.751999999999999"/>
    <x v="31"/>
    <d v="1899-12-30T15:44:00"/>
    <x v="1"/>
    <n v="30.24"/>
    <n v="4.7619047620000003"/>
    <n v="1.512"/>
    <x v="3"/>
  </r>
  <r>
    <s v="889-04-9723"/>
    <s v="B"/>
    <x v="2"/>
    <x v="0"/>
    <s v="Female"/>
    <x v="4"/>
    <n v="89.14"/>
    <n v="4"/>
    <n v="17.827999999999999"/>
    <n v="374.38799999999998"/>
    <x v="27"/>
    <d v="1899-12-30T12:20:00"/>
    <x v="2"/>
    <n v="356.56"/>
    <n v="4.7619047620000003"/>
    <n v="17.827999999999999"/>
    <x v="52"/>
  </r>
  <r>
    <s v="632-90-0281"/>
    <s v="C"/>
    <x v="1"/>
    <x v="1"/>
    <s v="Female"/>
    <x v="5"/>
    <n v="37.549999999999997"/>
    <n v="10"/>
    <n v="18.774999999999999"/>
    <n v="394.27499999999998"/>
    <x v="1"/>
    <d v="1899-12-30T20:01:00"/>
    <x v="2"/>
    <n v="375.5"/>
    <n v="4.7619047620000003"/>
    <n v="18.774999999999999"/>
    <x v="39"/>
  </r>
  <r>
    <s v="554-42-2417"/>
    <s v="C"/>
    <x v="1"/>
    <x v="1"/>
    <s v="Female"/>
    <x v="3"/>
    <n v="95.44"/>
    <n v="10"/>
    <n v="47.72"/>
    <n v="1002.12"/>
    <x v="51"/>
    <d v="1899-12-30T13:45:00"/>
    <x v="1"/>
    <n v="954.4"/>
    <n v="4.7619047620000003"/>
    <n v="47.72"/>
    <x v="53"/>
  </r>
  <r>
    <s v="453-63-6187"/>
    <s v="B"/>
    <x v="2"/>
    <x v="1"/>
    <s v="Male"/>
    <x v="1"/>
    <n v="27.5"/>
    <n v="3"/>
    <n v="4.125"/>
    <n v="86.625"/>
    <x v="59"/>
    <d v="1899-12-30T15:40:00"/>
    <x v="0"/>
    <n v="82.5"/>
    <n v="4.7619047620000003"/>
    <n v="4.125"/>
    <x v="35"/>
  </r>
  <r>
    <s v="578-80-7669"/>
    <s v="B"/>
    <x v="2"/>
    <x v="1"/>
    <s v="Male"/>
    <x v="3"/>
    <n v="74.97"/>
    <n v="1"/>
    <n v="3.7484999999999999"/>
    <n v="78.718500000000006"/>
    <x v="32"/>
    <d v="1899-12-30T16:58:00"/>
    <x v="1"/>
    <n v="74.97"/>
    <n v="4.7619047620000003"/>
    <n v="3.7484999999999999"/>
    <x v="32"/>
  </r>
  <r>
    <s v="612-36-5536"/>
    <s v="A"/>
    <x v="0"/>
    <x v="0"/>
    <s v="Male"/>
    <x v="4"/>
    <n v="80.959999999999994"/>
    <n v="8"/>
    <n v="32.384"/>
    <n v="680.06399999999996"/>
    <x v="21"/>
    <d v="1899-12-30T11:12:00"/>
    <x v="2"/>
    <n v="647.67999999999995"/>
    <n v="4.7619047620000003"/>
    <n v="32.384"/>
    <x v="2"/>
  </r>
  <r>
    <s v="605-72-4132"/>
    <s v="C"/>
    <x v="1"/>
    <x v="1"/>
    <s v="Female"/>
    <x v="4"/>
    <n v="94.47"/>
    <n v="8"/>
    <n v="37.787999999999997"/>
    <n v="793.548"/>
    <x v="33"/>
    <d v="1899-12-30T15:12:00"/>
    <x v="1"/>
    <n v="755.76"/>
    <n v="4.7619047620000003"/>
    <n v="37.787999999999997"/>
    <x v="0"/>
  </r>
  <r>
    <s v="471-41-2823"/>
    <s v="C"/>
    <x v="1"/>
    <x v="1"/>
    <s v="Male"/>
    <x v="4"/>
    <n v="99.79"/>
    <n v="2"/>
    <n v="9.9789999999999992"/>
    <n v="209.559"/>
    <x v="37"/>
    <d v="1899-12-30T20:37:00"/>
    <x v="0"/>
    <n v="199.58"/>
    <n v="4.7619047620000003"/>
    <n v="9.9789999999999992"/>
    <x v="7"/>
  </r>
  <r>
    <s v="462-67-9126"/>
    <s v="A"/>
    <x v="0"/>
    <x v="1"/>
    <s v="Male"/>
    <x v="2"/>
    <n v="73.22"/>
    <n v="6"/>
    <n v="21.966000000000001"/>
    <n v="461.286"/>
    <x v="18"/>
    <d v="1899-12-30T17:44:00"/>
    <x v="1"/>
    <n v="439.32"/>
    <n v="4.7619047620000003"/>
    <n v="21.966000000000001"/>
    <x v="8"/>
  </r>
  <r>
    <s v="272-27-9238"/>
    <s v="C"/>
    <x v="1"/>
    <x v="1"/>
    <s v="Female"/>
    <x v="4"/>
    <n v="41.24"/>
    <n v="4"/>
    <n v="8.2479999999999993"/>
    <n v="173.208"/>
    <x v="88"/>
    <d v="1899-12-30T16:23:00"/>
    <x v="1"/>
    <n v="164.96"/>
    <n v="4.7619047620000003"/>
    <n v="8.2479999999999993"/>
    <x v="12"/>
  </r>
  <r>
    <s v="834-25-9262"/>
    <s v="C"/>
    <x v="1"/>
    <x v="1"/>
    <s v="Female"/>
    <x v="5"/>
    <n v="81.680000000000007"/>
    <n v="4"/>
    <n v="16.335999999999999"/>
    <n v="343.05599999999998"/>
    <x v="47"/>
    <d v="1899-12-30T12:12:00"/>
    <x v="1"/>
    <n v="326.72000000000003"/>
    <n v="4.7619047620000003"/>
    <n v="16.335999999999999"/>
    <x v="0"/>
  </r>
  <r>
    <s v="122-61-9553"/>
    <s v="C"/>
    <x v="1"/>
    <x v="1"/>
    <s v="Female"/>
    <x v="1"/>
    <n v="51.32"/>
    <n v="9"/>
    <n v="23.094000000000001"/>
    <n v="484.97399999999999"/>
    <x v="86"/>
    <d v="1899-12-30T19:33:00"/>
    <x v="1"/>
    <n v="461.88"/>
    <n v="4.7619047620000003"/>
    <n v="23.094000000000001"/>
    <x v="32"/>
  </r>
  <r>
    <s v="468-88-0009"/>
    <s v="A"/>
    <x v="0"/>
    <x v="0"/>
    <s v="Male"/>
    <x v="2"/>
    <n v="65.94"/>
    <n v="4"/>
    <n v="13.188000000000001"/>
    <n v="276.94799999999998"/>
    <x v="62"/>
    <d v="1899-12-30T10:29:00"/>
    <x v="1"/>
    <n v="263.76"/>
    <n v="4.7619047620000003"/>
    <n v="13.188000000000001"/>
    <x v="22"/>
  </r>
  <r>
    <s v="613-59-9758"/>
    <s v="C"/>
    <x v="1"/>
    <x v="1"/>
    <s v="Female"/>
    <x v="3"/>
    <n v="14.36"/>
    <n v="10"/>
    <n v="7.18"/>
    <n v="150.78"/>
    <x v="3"/>
    <d v="1899-12-30T14:28:00"/>
    <x v="1"/>
    <n v="143.6"/>
    <n v="4.7619047620000003"/>
    <n v="7.18"/>
    <x v="38"/>
  </r>
  <r>
    <s v="254-31-0042"/>
    <s v="A"/>
    <x v="0"/>
    <x v="0"/>
    <s v="Male"/>
    <x v="1"/>
    <n v="21.5"/>
    <n v="9"/>
    <n v="9.6750000000000007"/>
    <n v="203.17500000000001"/>
    <x v="43"/>
    <d v="1899-12-30T12:46:00"/>
    <x v="2"/>
    <n v="193.5"/>
    <n v="4.7619047620000003"/>
    <n v="9.6750000000000007"/>
    <x v="52"/>
  </r>
  <r>
    <s v="201-86-2184"/>
    <s v="B"/>
    <x v="2"/>
    <x v="0"/>
    <s v="Female"/>
    <x v="1"/>
    <n v="26.26"/>
    <n v="7"/>
    <n v="9.1910000000000007"/>
    <n v="193.011"/>
    <x v="30"/>
    <d v="1899-12-30T19:40:00"/>
    <x v="1"/>
    <n v="183.82"/>
    <n v="4.7619047620000003"/>
    <n v="9.1910000000000007"/>
    <x v="21"/>
  </r>
  <r>
    <s v="261-12-8671"/>
    <s v="B"/>
    <x v="2"/>
    <x v="1"/>
    <s v="Female"/>
    <x v="5"/>
    <n v="60.96"/>
    <n v="2"/>
    <n v="6.0960000000000001"/>
    <n v="128.01599999999999"/>
    <x v="25"/>
    <d v="1899-12-30T19:39:00"/>
    <x v="2"/>
    <n v="121.92"/>
    <n v="4.7619047620000003"/>
    <n v="6.0960000000000001"/>
    <x v="49"/>
  </r>
  <r>
    <s v="730-70-9830"/>
    <s v="C"/>
    <x v="1"/>
    <x v="1"/>
    <s v="Female"/>
    <x v="2"/>
    <n v="70.11"/>
    <n v="6"/>
    <n v="21.033000000000001"/>
    <n v="441.69299999999998"/>
    <x v="86"/>
    <d v="1899-12-30T17:54:00"/>
    <x v="0"/>
    <n v="420.66"/>
    <n v="4.7619047620000003"/>
    <n v="21.033000000000001"/>
    <x v="53"/>
  </r>
  <r>
    <s v="382-25-8917"/>
    <s v="C"/>
    <x v="1"/>
    <x v="1"/>
    <s v="Male"/>
    <x v="5"/>
    <n v="42.08"/>
    <n v="6"/>
    <n v="12.624000000000001"/>
    <n v="265.10399999999998"/>
    <x v="71"/>
    <d v="1899-12-30T12:25:00"/>
    <x v="1"/>
    <n v="252.48"/>
    <n v="4.7619047620000003"/>
    <n v="12.624000000000001"/>
    <x v="60"/>
  </r>
  <r>
    <s v="422-29-8786"/>
    <s v="A"/>
    <x v="0"/>
    <x v="1"/>
    <s v="Female"/>
    <x v="2"/>
    <n v="67.09"/>
    <n v="5"/>
    <n v="16.772500000000001"/>
    <n v="352.22250000000003"/>
    <x v="75"/>
    <d v="1899-12-30T16:47:00"/>
    <x v="2"/>
    <n v="335.45"/>
    <n v="4.7619047620000003"/>
    <n v="16.772500000000001"/>
    <x v="0"/>
  </r>
  <r>
    <s v="667-23-5919"/>
    <s v="A"/>
    <x v="0"/>
    <x v="0"/>
    <s v="Female"/>
    <x v="5"/>
    <n v="96.7"/>
    <n v="5"/>
    <n v="24.175000000000001"/>
    <n v="507.67500000000001"/>
    <x v="78"/>
    <d v="1899-12-30T12:52:00"/>
    <x v="0"/>
    <n v="483.5"/>
    <n v="4.7619047620000003"/>
    <n v="24.175000000000001"/>
    <x v="27"/>
  </r>
  <r>
    <s v="843-01-4703"/>
    <s v="B"/>
    <x v="2"/>
    <x v="0"/>
    <s v="Female"/>
    <x v="2"/>
    <n v="35.380000000000003"/>
    <n v="9"/>
    <n v="15.920999999999999"/>
    <n v="334.34100000000001"/>
    <x v="0"/>
    <d v="1899-12-30T19:50:00"/>
    <x v="2"/>
    <n v="318.42"/>
    <n v="4.7619047620000003"/>
    <n v="15.920999999999999"/>
    <x v="1"/>
  </r>
  <r>
    <s v="743-88-1662"/>
    <s v="C"/>
    <x v="1"/>
    <x v="1"/>
    <s v="Male"/>
    <x v="3"/>
    <n v="95.49"/>
    <n v="7"/>
    <n v="33.421500000000002"/>
    <n v="701.85149999999999"/>
    <x v="70"/>
    <d v="1899-12-30T18:17:00"/>
    <x v="0"/>
    <n v="668.43"/>
    <n v="4.7619047620000003"/>
    <n v="33.421500000000002"/>
    <x v="44"/>
  </r>
  <r>
    <s v="595-86-2894"/>
    <s v="C"/>
    <x v="1"/>
    <x v="0"/>
    <s v="Male"/>
    <x v="5"/>
    <n v="96.98"/>
    <n v="4"/>
    <n v="19.396000000000001"/>
    <n v="407.31599999999997"/>
    <x v="10"/>
    <d v="1899-12-30T17:20:00"/>
    <x v="0"/>
    <n v="387.92"/>
    <n v="4.7619047620000003"/>
    <n v="19.396000000000001"/>
    <x v="45"/>
  </r>
  <r>
    <s v="182-69-8360"/>
    <s v="B"/>
    <x v="2"/>
    <x v="1"/>
    <s v="Female"/>
    <x v="1"/>
    <n v="23.65"/>
    <n v="4"/>
    <n v="4.7300000000000004"/>
    <n v="99.33"/>
    <x v="74"/>
    <d v="1899-12-30T13:32:00"/>
    <x v="2"/>
    <n v="94.6"/>
    <n v="4.7619047620000003"/>
    <n v="4.7300000000000004"/>
    <x v="43"/>
  </r>
  <r>
    <s v="289-15-7034"/>
    <s v="A"/>
    <x v="0"/>
    <x v="0"/>
    <s v="Male"/>
    <x v="3"/>
    <n v="82.33"/>
    <n v="4"/>
    <n v="16.466000000000001"/>
    <n v="345.786"/>
    <x v="83"/>
    <d v="1899-12-30T10:37:00"/>
    <x v="2"/>
    <n v="329.32"/>
    <n v="4.7619047620000003"/>
    <n v="16.466000000000001"/>
    <x v="26"/>
  </r>
  <r>
    <s v="462-78-5240"/>
    <s v="C"/>
    <x v="1"/>
    <x v="1"/>
    <s v="Female"/>
    <x v="1"/>
    <n v="26.61"/>
    <n v="2"/>
    <n v="2.661"/>
    <n v="55.881"/>
    <x v="35"/>
    <d v="1899-12-30T14:35:00"/>
    <x v="1"/>
    <n v="53.22"/>
    <n v="4.7619047620000003"/>
    <n v="2.661"/>
    <x v="50"/>
  </r>
  <r>
    <s v="868-52-7573"/>
    <s v="B"/>
    <x v="2"/>
    <x v="1"/>
    <s v="Female"/>
    <x v="4"/>
    <n v="99.69"/>
    <n v="5"/>
    <n v="24.922499999999999"/>
    <n v="523.37249999999995"/>
    <x v="78"/>
    <d v="1899-12-30T12:09:00"/>
    <x v="1"/>
    <n v="498.45"/>
    <n v="4.7619047620000003"/>
    <n v="24.922499999999999"/>
    <x v="21"/>
  </r>
  <r>
    <s v="153-58-4872"/>
    <s v="C"/>
    <x v="1"/>
    <x v="0"/>
    <s v="Female"/>
    <x v="4"/>
    <n v="74.89"/>
    <n v="4"/>
    <n v="14.978"/>
    <n v="314.53800000000001"/>
    <x v="59"/>
    <d v="1899-12-30T15:32:00"/>
    <x v="0"/>
    <n v="299.56"/>
    <n v="4.7619047620000003"/>
    <n v="14.978"/>
    <x v="50"/>
  </r>
  <r>
    <s v="662-72-2873"/>
    <s v="A"/>
    <x v="0"/>
    <x v="1"/>
    <s v="Female"/>
    <x v="4"/>
    <n v="40.94"/>
    <n v="5"/>
    <n v="10.234999999999999"/>
    <n v="214.935"/>
    <x v="47"/>
    <d v="1899-12-30T13:58:00"/>
    <x v="0"/>
    <n v="204.7"/>
    <n v="4.7619047620000003"/>
    <n v="10.234999999999999"/>
    <x v="21"/>
  </r>
  <r>
    <s v="525-88-7307"/>
    <s v="B"/>
    <x v="2"/>
    <x v="0"/>
    <s v="Male"/>
    <x v="3"/>
    <n v="75.819999999999993"/>
    <n v="1"/>
    <n v="3.7909999999999999"/>
    <n v="79.611000000000004"/>
    <x v="82"/>
    <d v="1899-12-30T13:19:00"/>
    <x v="1"/>
    <n v="75.819999999999993"/>
    <n v="4.7619047620000003"/>
    <n v="3.7909999999999999"/>
    <x v="6"/>
  </r>
  <r>
    <s v="689-16-9784"/>
    <s v="C"/>
    <x v="1"/>
    <x v="1"/>
    <s v="Male"/>
    <x v="4"/>
    <n v="46.77"/>
    <n v="6"/>
    <n v="14.031000000000001"/>
    <n v="294.65100000000001"/>
    <x v="16"/>
    <d v="1899-12-30T13:37:00"/>
    <x v="1"/>
    <n v="280.62"/>
    <n v="4.7619047620000003"/>
    <n v="14.031000000000001"/>
    <x v="22"/>
  </r>
  <r>
    <s v="725-56-0833"/>
    <s v="A"/>
    <x v="0"/>
    <x v="1"/>
    <s v="Female"/>
    <x v="0"/>
    <n v="32.32"/>
    <n v="10"/>
    <n v="16.16"/>
    <n v="339.36"/>
    <x v="9"/>
    <d v="1899-12-30T16:49:00"/>
    <x v="2"/>
    <n v="323.2"/>
    <n v="4.7619047620000003"/>
    <n v="16.16"/>
    <x v="40"/>
  </r>
  <r>
    <s v="394-41-0748"/>
    <s v="C"/>
    <x v="1"/>
    <x v="0"/>
    <s v="Female"/>
    <x v="5"/>
    <n v="54.07"/>
    <n v="9"/>
    <n v="24.331499999999998"/>
    <n v="510.9615"/>
    <x v="3"/>
    <d v="1899-12-30T14:55:00"/>
    <x v="0"/>
    <n v="486.63"/>
    <n v="4.7619047620000003"/>
    <n v="24.331499999999998"/>
    <x v="33"/>
  </r>
  <r>
    <s v="596-42-3999"/>
    <s v="B"/>
    <x v="2"/>
    <x v="1"/>
    <s v="Male"/>
    <x v="4"/>
    <n v="18.22"/>
    <n v="7"/>
    <n v="6.3769999999999998"/>
    <n v="133.917"/>
    <x v="24"/>
    <d v="1899-12-30T14:04:00"/>
    <x v="2"/>
    <n v="127.54"/>
    <n v="4.7619047620000003"/>
    <n v="6.3769999999999998"/>
    <x v="37"/>
  </r>
  <r>
    <s v="541-89-9860"/>
    <s v="C"/>
    <x v="1"/>
    <x v="0"/>
    <s v="Female"/>
    <x v="5"/>
    <n v="80.48"/>
    <n v="3"/>
    <n v="12.071999999999999"/>
    <n v="253.512"/>
    <x v="42"/>
    <d v="1899-12-30T12:31:00"/>
    <x v="1"/>
    <n v="241.44"/>
    <n v="4.7619047620000003"/>
    <n v="12.071999999999999"/>
    <x v="34"/>
  </r>
  <r>
    <s v="173-82-9529"/>
    <s v="B"/>
    <x v="2"/>
    <x v="1"/>
    <s v="Female"/>
    <x v="5"/>
    <n v="37.950000000000003"/>
    <n v="10"/>
    <n v="18.975000000000001"/>
    <n v="398.47500000000002"/>
    <x v="53"/>
    <d v="1899-12-30T14:51:00"/>
    <x v="1"/>
    <n v="379.5"/>
    <n v="4.7619047620000003"/>
    <n v="18.975000000000001"/>
    <x v="58"/>
  </r>
  <r>
    <s v="563-36-9814"/>
    <s v="A"/>
    <x v="0"/>
    <x v="0"/>
    <s v="Male"/>
    <x v="1"/>
    <n v="76.819999999999993"/>
    <n v="1"/>
    <n v="3.8410000000000002"/>
    <n v="80.661000000000001"/>
    <x v="77"/>
    <d v="1899-12-30T18:27:00"/>
    <x v="0"/>
    <n v="76.819999999999993"/>
    <n v="4.7619047620000003"/>
    <n v="3.8410000000000002"/>
    <x v="8"/>
  </r>
  <r>
    <s v="308-47-4913"/>
    <s v="A"/>
    <x v="0"/>
    <x v="0"/>
    <s v="Female"/>
    <x v="3"/>
    <n v="52.26"/>
    <n v="10"/>
    <n v="26.13"/>
    <n v="548.73"/>
    <x v="11"/>
    <d v="1899-12-30T12:45:00"/>
    <x v="2"/>
    <n v="522.6"/>
    <n v="4.7619047620000003"/>
    <n v="26.13"/>
    <x v="56"/>
  </r>
  <r>
    <s v="885-17-6250"/>
    <s v="A"/>
    <x v="0"/>
    <x v="1"/>
    <s v="Female"/>
    <x v="0"/>
    <n v="79.739999999999995"/>
    <n v="1"/>
    <n v="3.9870000000000001"/>
    <n v="83.727000000000004"/>
    <x v="43"/>
    <d v="1899-12-30T10:36:00"/>
    <x v="0"/>
    <n v="79.739999999999995"/>
    <n v="4.7619047620000003"/>
    <n v="3.9870000000000001"/>
    <x v="48"/>
  </r>
  <r>
    <s v="726-27-2396"/>
    <s v="A"/>
    <x v="0"/>
    <x v="1"/>
    <s v="Female"/>
    <x v="0"/>
    <n v="77.5"/>
    <n v="5"/>
    <n v="19.375"/>
    <n v="406.875"/>
    <x v="46"/>
    <d v="1899-12-30T20:36:00"/>
    <x v="0"/>
    <n v="387.5"/>
    <n v="4.7619047620000003"/>
    <n v="19.375"/>
    <x v="42"/>
  </r>
  <r>
    <s v="316-01-3952"/>
    <s v="A"/>
    <x v="0"/>
    <x v="1"/>
    <s v="Female"/>
    <x v="4"/>
    <n v="54.27"/>
    <n v="5"/>
    <n v="13.567500000000001"/>
    <n v="284.91750000000002"/>
    <x v="45"/>
    <d v="1899-12-30T14:16:00"/>
    <x v="0"/>
    <n v="271.35000000000002"/>
    <n v="4.7619047620000003"/>
    <n v="13.567500000000001"/>
    <x v="15"/>
  </r>
  <r>
    <s v="760-54-1821"/>
    <s v="B"/>
    <x v="2"/>
    <x v="1"/>
    <s v="Male"/>
    <x v="2"/>
    <n v="13.59"/>
    <n v="9"/>
    <n v="6.1154999999999999"/>
    <n v="128.4255"/>
    <x v="20"/>
    <d v="1899-12-30T10:26:00"/>
    <x v="1"/>
    <n v="122.31"/>
    <n v="4.7619047620000003"/>
    <n v="6.1154999999999999"/>
    <x v="6"/>
  </r>
  <r>
    <s v="793-10-3222"/>
    <s v="B"/>
    <x v="2"/>
    <x v="0"/>
    <s v="Female"/>
    <x v="0"/>
    <n v="41.06"/>
    <n v="6"/>
    <n v="12.318"/>
    <n v="258.678"/>
    <x v="19"/>
    <d v="1899-12-30T13:30:00"/>
    <x v="2"/>
    <n v="246.36"/>
    <n v="4.7619047620000003"/>
    <n v="12.318"/>
    <x v="47"/>
  </r>
  <r>
    <s v="346-12-3257"/>
    <s v="B"/>
    <x v="2"/>
    <x v="0"/>
    <s v="Male"/>
    <x v="1"/>
    <n v="19.239999999999998"/>
    <n v="9"/>
    <n v="8.6579999999999995"/>
    <n v="181.81800000000001"/>
    <x v="31"/>
    <d v="1899-12-30T16:28:00"/>
    <x v="1"/>
    <n v="173.16"/>
    <n v="4.7619047620000003"/>
    <n v="8.6579999999999995"/>
    <x v="7"/>
  </r>
  <r>
    <s v="110-05-6330"/>
    <s v="C"/>
    <x v="1"/>
    <x v="1"/>
    <s v="Female"/>
    <x v="4"/>
    <n v="39.43"/>
    <n v="6"/>
    <n v="11.829000000000001"/>
    <n v="248.40899999999999"/>
    <x v="5"/>
    <d v="1899-12-30T20:18:00"/>
    <x v="2"/>
    <n v="236.58"/>
    <n v="4.7619047620000003"/>
    <n v="11.829000000000001"/>
    <x v="45"/>
  </r>
  <r>
    <s v="651-61-0874"/>
    <s v="C"/>
    <x v="1"/>
    <x v="1"/>
    <s v="Male"/>
    <x v="2"/>
    <n v="46.22"/>
    <n v="4"/>
    <n v="9.2439999999999998"/>
    <n v="194.124"/>
    <x v="41"/>
    <d v="1899-12-30T20:04:00"/>
    <x v="2"/>
    <n v="184.88"/>
    <n v="4.7619047620000003"/>
    <n v="9.2439999999999998"/>
    <x v="56"/>
  </r>
  <r>
    <s v="236-86-3015"/>
    <s v="C"/>
    <x v="1"/>
    <x v="0"/>
    <s v="Male"/>
    <x v="2"/>
    <n v="13.98"/>
    <n v="1"/>
    <n v="0.69899999999999995"/>
    <n v="14.679"/>
    <x v="87"/>
    <d v="1899-12-30T13:38:00"/>
    <x v="0"/>
    <n v="13.98"/>
    <n v="4.7619047620000003"/>
    <n v="0.69899999999999995"/>
    <x v="57"/>
  </r>
  <r>
    <s v="831-64-0259"/>
    <s v="B"/>
    <x v="2"/>
    <x v="1"/>
    <s v="Female"/>
    <x v="5"/>
    <n v="39.75"/>
    <n v="5"/>
    <n v="9.9375"/>
    <n v="208.6875"/>
    <x v="70"/>
    <d v="1899-12-30T10:43:00"/>
    <x v="0"/>
    <n v="198.75"/>
    <n v="4.7619047620000003"/>
    <n v="9.9375"/>
    <x v="1"/>
  </r>
  <r>
    <s v="587-03-7455"/>
    <s v="C"/>
    <x v="1"/>
    <x v="0"/>
    <s v="Female"/>
    <x v="5"/>
    <n v="97.79"/>
    <n v="7"/>
    <n v="34.226500000000001"/>
    <n v="718.75649999999996"/>
    <x v="69"/>
    <d v="1899-12-30T17:30:00"/>
    <x v="0"/>
    <n v="684.53"/>
    <n v="4.7619047620000003"/>
    <n v="34.226500000000001"/>
    <x v="49"/>
  </r>
  <r>
    <s v="882-40-4577"/>
    <s v="A"/>
    <x v="0"/>
    <x v="0"/>
    <s v="Male"/>
    <x v="3"/>
    <n v="67.260000000000005"/>
    <n v="4"/>
    <n v="13.452"/>
    <n v="282.49200000000002"/>
    <x v="64"/>
    <d v="1899-12-30T15:28:00"/>
    <x v="2"/>
    <n v="269.04000000000002"/>
    <n v="4.7619047620000003"/>
    <n v="13.452"/>
    <x v="7"/>
  </r>
  <r>
    <s v="732-67-5346"/>
    <s v="A"/>
    <x v="0"/>
    <x v="1"/>
    <s v="Male"/>
    <x v="4"/>
    <n v="13.79"/>
    <n v="5"/>
    <n v="3.4474999999999998"/>
    <n v="72.397499999999994"/>
    <x v="83"/>
    <d v="1899-12-30T19:07:00"/>
    <x v="2"/>
    <n v="68.95"/>
    <n v="4.7619047620000003"/>
    <n v="3.4474999999999998"/>
    <x v="52"/>
  </r>
  <r>
    <s v="725-32-9708"/>
    <s v="B"/>
    <x v="2"/>
    <x v="0"/>
    <s v="Female"/>
    <x v="5"/>
    <n v="68.709999999999994"/>
    <n v="4"/>
    <n v="13.742000000000001"/>
    <n v="288.58199999999999"/>
    <x v="72"/>
    <d v="1899-12-30T19:01:00"/>
    <x v="1"/>
    <n v="274.83999999999997"/>
    <n v="4.7619047620000003"/>
    <n v="13.742000000000001"/>
    <x v="5"/>
  </r>
  <r>
    <s v="256-08-8343"/>
    <s v="A"/>
    <x v="0"/>
    <x v="1"/>
    <s v="Female"/>
    <x v="2"/>
    <n v="56.53"/>
    <n v="4"/>
    <n v="11.305999999999999"/>
    <n v="237.42599999999999"/>
    <x v="31"/>
    <d v="1899-12-30T19:48:00"/>
    <x v="0"/>
    <n v="226.12"/>
    <n v="4.7619047620000003"/>
    <n v="11.305999999999999"/>
    <x v="46"/>
  </r>
  <r>
    <s v="372-26-1506"/>
    <s v="C"/>
    <x v="1"/>
    <x v="1"/>
    <s v="Female"/>
    <x v="5"/>
    <n v="23.82"/>
    <n v="5"/>
    <n v="5.9550000000000001"/>
    <n v="125.05500000000001"/>
    <x v="26"/>
    <d v="1899-12-30T19:24:00"/>
    <x v="0"/>
    <n v="119.1"/>
    <n v="4.7619047620000003"/>
    <n v="5.9550000000000001"/>
    <x v="38"/>
  </r>
  <r>
    <s v="244-08-0162"/>
    <s v="B"/>
    <x v="2"/>
    <x v="1"/>
    <s v="Female"/>
    <x v="0"/>
    <n v="34.21"/>
    <n v="10"/>
    <n v="17.105"/>
    <n v="359.20499999999998"/>
    <x v="56"/>
    <d v="1899-12-30T13:00:00"/>
    <x v="1"/>
    <n v="342.1"/>
    <n v="4.7619047620000003"/>
    <n v="17.105"/>
    <x v="20"/>
  </r>
  <r>
    <s v="569-71-4390"/>
    <s v="B"/>
    <x v="2"/>
    <x v="1"/>
    <s v="Male"/>
    <x v="3"/>
    <n v="21.87"/>
    <n v="2"/>
    <n v="2.1869999999999998"/>
    <n v="45.927"/>
    <x v="25"/>
    <d v="1899-12-30T14:29:00"/>
    <x v="0"/>
    <n v="43.74"/>
    <n v="4.7619047620000003"/>
    <n v="2.1869999999999998"/>
    <x v="16"/>
  </r>
  <r>
    <s v="132-23-6451"/>
    <s v="A"/>
    <x v="0"/>
    <x v="0"/>
    <s v="Male"/>
    <x v="0"/>
    <n v="20.97"/>
    <n v="5"/>
    <n v="5.2424999999999997"/>
    <n v="110.0925"/>
    <x v="72"/>
    <d v="1899-12-30T13:21:00"/>
    <x v="1"/>
    <n v="104.85"/>
    <n v="4.7619047620000003"/>
    <n v="5.2424999999999997"/>
    <x v="52"/>
  </r>
  <r>
    <s v="696-90-2548"/>
    <s v="A"/>
    <x v="0"/>
    <x v="1"/>
    <s v="Male"/>
    <x v="3"/>
    <n v="25.84"/>
    <n v="3"/>
    <n v="3.8759999999999999"/>
    <n v="81.396000000000001"/>
    <x v="24"/>
    <d v="1899-12-30T18:55:00"/>
    <x v="0"/>
    <n v="77.52"/>
    <n v="4.7619047620000003"/>
    <n v="3.8759999999999999"/>
    <x v="37"/>
  </r>
  <r>
    <s v="472-15-9636"/>
    <s v="A"/>
    <x v="0"/>
    <x v="1"/>
    <s v="Male"/>
    <x v="2"/>
    <n v="50.93"/>
    <n v="8"/>
    <n v="20.372"/>
    <n v="427.81200000000001"/>
    <x v="23"/>
    <d v="1899-12-30T19:36:00"/>
    <x v="0"/>
    <n v="407.44"/>
    <n v="4.7619047620000003"/>
    <n v="20.372"/>
    <x v="51"/>
  </r>
  <r>
    <s v="268-03-6164"/>
    <s v="B"/>
    <x v="2"/>
    <x v="1"/>
    <s v="Male"/>
    <x v="0"/>
    <n v="96.11"/>
    <n v="1"/>
    <n v="4.8055000000000003"/>
    <n v="100.91549999999999"/>
    <x v="25"/>
    <d v="1899-12-30T16:28:00"/>
    <x v="0"/>
    <n v="96.11"/>
    <n v="4.7619047620000003"/>
    <n v="4.8055000000000003"/>
    <x v="52"/>
  </r>
  <r>
    <s v="750-57-9686"/>
    <s v="C"/>
    <x v="1"/>
    <x v="1"/>
    <s v="Female"/>
    <x v="2"/>
    <n v="45.38"/>
    <n v="4"/>
    <n v="9.0760000000000005"/>
    <n v="190.596"/>
    <x v="66"/>
    <d v="1899-12-30T13:48:00"/>
    <x v="2"/>
    <n v="181.52"/>
    <n v="4.7619047620000003"/>
    <n v="9.0760000000000005"/>
    <x v="44"/>
  </r>
  <r>
    <s v="186-09-3669"/>
    <s v="C"/>
    <x v="1"/>
    <x v="0"/>
    <s v="Female"/>
    <x v="0"/>
    <n v="81.510000000000005"/>
    <n v="1"/>
    <n v="4.0754999999999999"/>
    <n v="85.585499999999996"/>
    <x v="49"/>
    <d v="1899-12-30T10:57:00"/>
    <x v="0"/>
    <n v="81.510000000000005"/>
    <n v="4.7619047620000003"/>
    <n v="4.0754999999999999"/>
    <x v="51"/>
  </r>
  <r>
    <s v="848-07-1692"/>
    <s v="B"/>
    <x v="2"/>
    <x v="1"/>
    <s v="Female"/>
    <x v="0"/>
    <n v="57.22"/>
    <n v="2"/>
    <n v="5.7220000000000004"/>
    <n v="120.16200000000001"/>
    <x v="52"/>
    <d v="1899-12-30T17:13:00"/>
    <x v="0"/>
    <n v="114.44"/>
    <n v="4.7619047620000003"/>
    <n v="5.7220000000000004"/>
    <x v="47"/>
  </r>
  <r>
    <s v="745-71-3520"/>
    <s v="A"/>
    <x v="0"/>
    <x v="0"/>
    <s v="Female"/>
    <x v="1"/>
    <n v="25.22"/>
    <n v="7"/>
    <n v="8.827"/>
    <n v="185.36699999999999"/>
    <x v="87"/>
    <d v="1899-12-30T10:23:00"/>
    <x v="1"/>
    <n v="176.54"/>
    <n v="4.7619047620000003"/>
    <n v="8.827"/>
    <x v="13"/>
  </r>
  <r>
    <s v="266-76-6436"/>
    <s v="C"/>
    <x v="1"/>
    <x v="0"/>
    <s v="Female"/>
    <x v="4"/>
    <n v="38.6"/>
    <n v="3"/>
    <n v="5.79"/>
    <n v="121.59"/>
    <x v="61"/>
    <d v="1899-12-30T13:57:00"/>
    <x v="0"/>
    <n v="115.8"/>
    <n v="4.7619047620000003"/>
    <n v="5.79"/>
    <x v="26"/>
  </r>
  <r>
    <s v="740-22-2500"/>
    <s v="C"/>
    <x v="1"/>
    <x v="1"/>
    <s v="Female"/>
    <x v="1"/>
    <n v="84.05"/>
    <n v="3"/>
    <n v="12.6075"/>
    <n v="264.75749999999999"/>
    <x v="54"/>
    <d v="1899-12-30T13:29:00"/>
    <x v="1"/>
    <n v="252.15"/>
    <n v="4.7619047620000003"/>
    <n v="12.6075"/>
    <x v="57"/>
  </r>
  <r>
    <s v="271-88-8734"/>
    <s v="C"/>
    <x v="1"/>
    <x v="0"/>
    <s v="Female"/>
    <x v="5"/>
    <n v="97.21"/>
    <n v="10"/>
    <n v="48.604999999999997"/>
    <n v="1020.705"/>
    <x v="4"/>
    <d v="1899-12-30T13:00:00"/>
    <x v="2"/>
    <n v="972.1"/>
    <n v="4.7619047620000003"/>
    <n v="48.604999999999997"/>
    <x v="44"/>
  </r>
  <r>
    <s v="301-81-8610"/>
    <s v="B"/>
    <x v="2"/>
    <x v="0"/>
    <s v="Male"/>
    <x v="5"/>
    <n v="25.42"/>
    <n v="8"/>
    <n v="10.167999999999999"/>
    <n v="213.52799999999999"/>
    <x v="35"/>
    <d v="1899-12-30T19:42:00"/>
    <x v="2"/>
    <n v="203.36"/>
    <n v="4.7619047620000003"/>
    <n v="10.167999999999999"/>
    <x v="24"/>
  </r>
  <r>
    <s v="489-64-4354"/>
    <s v="C"/>
    <x v="1"/>
    <x v="1"/>
    <s v="Male"/>
    <x v="5"/>
    <n v="16.28"/>
    <n v="1"/>
    <n v="0.81399999999999995"/>
    <n v="17.094000000000001"/>
    <x v="11"/>
    <d v="1899-12-30T15:36:00"/>
    <x v="1"/>
    <n v="16.28"/>
    <n v="4.7619047620000003"/>
    <n v="0.81399999999999995"/>
    <x v="59"/>
  </r>
  <r>
    <s v="198-84-7132"/>
    <s v="B"/>
    <x v="2"/>
    <x v="0"/>
    <s v="Male"/>
    <x v="5"/>
    <n v="40.61"/>
    <n v="9"/>
    <n v="18.2745"/>
    <n v="383.7645"/>
    <x v="56"/>
    <d v="1899-12-30T13:40:00"/>
    <x v="1"/>
    <n v="365.49"/>
    <n v="4.7619047620000003"/>
    <n v="18.2745"/>
    <x v="27"/>
  </r>
  <r>
    <s v="269-10-8440"/>
    <s v="A"/>
    <x v="0"/>
    <x v="0"/>
    <s v="Male"/>
    <x v="0"/>
    <n v="53.17"/>
    <n v="7"/>
    <n v="18.609500000000001"/>
    <n v="390.79950000000002"/>
    <x v="18"/>
    <d v="1899-12-30T18:01:00"/>
    <x v="1"/>
    <n v="372.19"/>
    <n v="4.7619047620000003"/>
    <n v="18.609500000000001"/>
    <x v="60"/>
  </r>
  <r>
    <s v="650-98-6268"/>
    <s v="B"/>
    <x v="2"/>
    <x v="0"/>
    <s v="Female"/>
    <x v="4"/>
    <n v="20.87"/>
    <n v="3"/>
    <n v="3.1305000000000001"/>
    <n v="65.740499999999997"/>
    <x v="80"/>
    <d v="1899-12-30T13:53:00"/>
    <x v="2"/>
    <n v="62.61"/>
    <n v="4.7619047620000003"/>
    <n v="3.1305000000000001"/>
    <x v="7"/>
  </r>
  <r>
    <s v="741-73-3559"/>
    <s v="B"/>
    <x v="2"/>
    <x v="1"/>
    <s v="Male"/>
    <x v="3"/>
    <n v="67.27"/>
    <n v="5"/>
    <n v="16.817499999999999"/>
    <n v="353.16750000000002"/>
    <x v="33"/>
    <d v="1899-12-30T17:27:00"/>
    <x v="1"/>
    <n v="336.35"/>
    <n v="4.7619047620000003"/>
    <n v="16.817499999999999"/>
    <x v="16"/>
  </r>
  <r>
    <s v="325-77-6186"/>
    <s v="A"/>
    <x v="0"/>
    <x v="0"/>
    <s v="Female"/>
    <x v="2"/>
    <n v="90.65"/>
    <n v="10"/>
    <n v="45.325000000000003"/>
    <n v="951.82500000000005"/>
    <x v="1"/>
    <d v="1899-12-30T10:53:00"/>
    <x v="0"/>
    <n v="906.5"/>
    <n v="4.7619047620000003"/>
    <n v="45.325000000000003"/>
    <x v="48"/>
  </r>
  <r>
    <s v="286-75-7818"/>
    <s v="B"/>
    <x v="2"/>
    <x v="1"/>
    <s v="Male"/>
    <x v="5"/>
    <n v="69.08"/>
    <n v="2"/>
    <n v="6.9080000000000004"/>
    <n v="145.06800000000001"/>
    <x v="82"/>
    <d v="1899-12-30T19:48:00"/>
    <x v="2"/>
    <n v="138.16"/>
    <n v="4.7619047620000003"/>
    <n v="6.9080000000000004"/>
    <x v="16"/>
  </r>
  <r>
    <s v="574-57-9721"/>
    <s v="C"/>
    <x v="1"/>
    <x v="1"/>
    <s v="Male"/>
    <x v="4"/>
    <n v="43.27"/>
    <n v="2"/>
    <n v="4.327"/>
    <n v="90.867000000000004"/>
    <x v="1"/>
    <d v="1899-12-30T16:53:00"/>
    <x v="0"/>
    <n v="86.54"/>
    <n v="4.7619047620000003"/>
    <n v="4.327"/>
    <x v="14"/>
  </r>
  <r>
    <s v="459-50-7686"/>
    <s v="A"/>
    <x v="0"/>
    <x v="1"/>
    <s v="Female"/>
    <x v="1"/>
    <n v="23.46"/>
    <n v="6"/>
    <n v="7.0380000000000003"/>
    <n v="147.798"/>
    <x v="50"/>
    <d v="1899-12-30T19:14:00"/>
    <x v="0"/>
    <n v="140.76"/>
    <n v="4.7619047620000003"/>
    <n v="7.0380000000000003"/>
    <x v="41"/>
  </r>
  <r>
    <s v="616-87-0016"/>
    <s v="B"/>
    <x v="2"/>
    <x v="1"/>
    <s v="Male"/>
    <x v="5"/>
    <n v="95.54"/>
    <n v="7"/>
    <n v="33.439"/>
    <n v="702.21900000000005"/>
    <x v="11"/>
    <d v="1899-12-30T14:36:00"/>
    <x v="2"/>
    <n v="668.78"/>
    <n v="4.7619047620000003"/>
    <n v="33.439"/>
    <x v="1"/>
  </r>
  <r>
    <s v="837-55-7229"/>
    <s v="B"/>
    <x v="2"/>
    <x v="1"/>
    <s v="Female"/>
    <x v="5"/>
    <n v="47.44"/>
    <n v="1"/>
    <n v="2.3719999999999999"/>
    <n v="49.811999999999998"/>
    <x v="70"/>
    <d v="1899-12-30T18:19:00"/>
    <x v="2"/>
    <n v="47.44"/>
    <n v="4.7619047620000003"/>
    <n v="2.3719999999999999"/>
    <x v="11"/>
  </r>
  <r>
    <s v="751-69-0068"/>
    <s v="C"/>
    <x v="1"/>
    <x v="1"/>
    <s v="Male"/>
    <x v="3"/>
    <n v="99.24"/>
    <n v="9"/>
    <n v="44.658000000000001"/>
    <n v="937.81799999999998"/>
    <x v="35"/>
    <d v="1899-12-30T19:09:00"/>
    <x v="0"/>
    <n v="893.16"/>
    <n v="4.7619047620000003"/>
    <n v="44.658000000000001"/>
    <x v="54"/>
  </r>
  <r>
    <s v="257-73-1380"/>
    <s v="C"/>
    <x v="1"/>
    <x v="0"/>
    <s v="Male"/>
    <x v="3"/>
    <n v="82.93"/>
    <n v="4"/>
    <n v="16.585999999999999"/>
    <n v="348.30599999999998"/>
    <x v="40"/>
    <d v="1899-12-30T16:51:00"/>
    <x v="0"/>
    <n v="331.72"/>
    <n v="4.7619047620000003"/>
    <n v="16.585999999999999"/>
    <x v="1"/>
  </r>
  <r>
    <s v="345-08-4992"/>
    <s v="A"/>
    <x v="0"/>
    <x v="1"/>
    <s v="Male"/>
    <x v="2"/>
    <n v="33.99"/>
    <n v="6"/>
    <n v="10.196999999999999"/>
    <n v="214.137"/>
    <x v="1"/>
    <d v="1899-12-30T15:37:00"/>
    <x v="2"/>
    <n v="203.94"/>
    <n v="4.7619047620000003"/>
    <n v="10.196999999999999"/>
    <x v="25"/>
  </r>
  <r>
    <s v="549-96-4200"/>
    <s v="C"/>
    <x v="1"/>
    <x v="0"/>
    <s v="Male"/>
    <x v="4"/>
    <n v="17.04"/>
    <n v="4"/>
    <n v="3.4079999999999999"/>
    <n v="71.567999999999998"/>
    <x v="1"/>
    <d v="1899-12-30T20:15:00"/>
    <x v="0"/>
    <n v="68.16"/>
    <n v="4.7619047620000003"/>
    <n v="3.4079999999999999"/>
    <x v="27"/>
  </r>
  <r>
    <s v="810-60-6344"/>
    <s v="C"/>
    <x v="1"/>
    <x v="1"/>
    <s v="Female"/>
    <x v="1"/>
    <n v="40.86"/>
    <n v="8"/>
    <n v="16.344000000000001"/>
    <n v="343.22399999999999"/>
    <x v="13"/>
    <d v="1899-12-30T14:38:00"/>
    <x v="2"/>
    <n v="326.88"/>
    <n v="4.7619047620000003"/>
    <n v="16.344000000000001"/>
    <x v="35"/>
  </r>
  <r>
    <s v="450-28-2866"/>
    <s v="C"/>
    <x v="1"/>
    <x v="0"/>
    <s v="Male"/>
    <x v="4"/>
    <n v="17.440000000000001"/>
    <n v="5"/>
    <n v="4.3600000000000003"/>
    <n v="91.56"/>
    <x v="15"/>
    <d v="1899-12-30T19:25:00"/>
    <x v="1"/>
    <n v="87.2"/>
    <n v="4.7619047620000003"/>
    <n v="4.3600000000000003"/>
    <x v="34"/>
  </r>
  <r>
    <s v="394-30-3170"/>
    <s v="B"/>
    <x v="2"/>
    <x v="0"/>
    <s v="Female"/>
    <x v="3"/>
    <n v="88.43"/>
    <n v="8"/>
    <n v="35.372"/>
    <n v="742.81200000000001"/>
    <x v="23"/>
    <d v="1899-12-30T19:35:00"/>
    <x v="2"/>
    <n v="707.44"/>
    <n v="4.7619047620000003"/>
    <n v="35.372"/>
    <x v="42"/>
  </r>
  <r>
    <s v="138-17-5109"/>
    <s v="A"/>
    <x v="0"/>
    <x v="0"/>
    <s v="Female"/>
    <x v="2"/>
    <n v="89.21"/>
    <n v="9"/>
    <n v="40.144500000000001"/>
    <n v="843.03449999999998"/>
    <x v="15"/>
    <d v="1899-12-30T15:42:00"/>
    <x v="2"/>
    <n v="802.89"/>
    <n v="4.7619047620000003"/>
    <n v="40.144500000000001"/>
    <x v="35"/>
  </r>
  <r>
    <s v="192-98-7397"/>
    <s v="C"/>
    <x v="1"/>
    <x v="1"/>
    <s v="Male"/>
    <x v="5"/>
    <n v="12.78"/>
    <n v="1"/>
    <n v="0.63900000000000001"/>
    <n v="13.419"/>
    <x v="66"/>
    <d v="1899-12-30T14:11:00"/>
    <x v="0"/>
    <n v="12.78"/>
    <n v="4.7619047620000003"/>
    <n v="0.63900000000000001"/>
    <x v="33"/>
  </r>
  <r>
    <s v="301-11-9629"/>
    <s v="A"/>
    <x v="0"/>
    <x v="1"/>
    <s v="Female"/>
    <x v="3"/>
    <n v="19.100000000000001"/>
    <n v="7"/>
    <n v="6.6849999999999996"/>
    <n v="140.38499999999999"/>
    <x v="15"/>
    <d v="1899-12-30T10:43:00"/>
    <x v="1"/>
    <n v="133.69999999999999"/>
    <n v="4.7619047620000003"/>
    <n v="6.6849999999999996"/>
    <x v="58"/>
  </r>
  <r>
    <s v="390-80-5128"/>
    <s v="B"/>
    <x v="2"/>
    <x v="0"/>
    <s v="Female"/>
    <x v="0"/>
    <n v="19.149999999999999"/>
    <n v="1"/>
    <n v="0.95750000000000002"/>
    <n v="20.107500000000002"/>
    <x v="26"/>
    <d v="1899-12-30T17:58:00"/>
    <x v="2"/>
    <n v="19.149999999999999"/>
    <n v="4.7619047620000003"/>
    <n v="0.95750000000000002"/>
    <x v="33"/>
  </r>
  <r>
    <s v="235-46-8343"/>
    <s v="C"/>
    <x v="1"/>
    <x v="0"/>
    <s v="Male"/>
    <x v="4"/>
    <n v="27.66"/>
    <n v="10"/>
    <n v="13.83"/>
    <n v="290.43"/>
    <x v="44"/>
    <d v="1899-12-30T11:26:00"/>
    <x v="2"/>
    <n v="276.60000000000002"/>
    <n v="4.7619047620000003"/>
    <n v="13.83"/>
    <x v="60"/>
  </r>
  <r>
    <s v="453-12-7053"/>
    <s v="C"/>
    <x v="1"/>
    <x v="1"/>
    <s v="Male"/>
    <x v="5"/>
    <n v="45.74"/>
    <n v="3"/>
    <n v="6.8609999999999998"/>
    <n v="144.08099999999999"/>
    <x v="24"/>
    <d v="1899-12-30T17:38:00"/>
    <x v="2"/>
    <n v="137.22"/>
    <n v="4.7619047620000003"/>
    <n v="6.8609999999999998"/>
    <x v="35"/>
  </r>
  <r>
    <s v="296-11-7041"/>
    <s v="B"/>
    <x v="2"/>
    <x v="0"/>
    <s v="Female"/>
    <x v="0"/>
    <n v="27.07"/>
    <n v="1"/>
    <n v="1.3534999999999999"/>
    <n v="28.423500000000001"/>
    <x v="52"/>
    <d v="1899-12-30T20:07:00"/>
    <x v="2"/>
    <n v="27.07"/>
    <n v="4.7619047620000003"/>
    <n v="1.3534999999999999"/>
    <x v="4"/>
  </r>
  <r>
    <s v="449-27-2918"/>
    <s v="B"/>
    <x v="2"/>
    <x v="0"/>
    <s v="Female"/>
    <x v="3"/>
    <n v="39.119999999999997"/>
    <n v="1"/>
    <n v="1.956"/>
    <n v="41.076000000000001"/>
    <x v="58"/>
    <d v="1899-12-30T11:02:00"/>
    <x v="2"/>
    <n v="39.119999999999997"/>
    <n v="4.7619047620000003"/>
    <n v="1.956"/>
    <x v="1"/>
  </r>
  <r>
    <s v="891-01-7034"/>
    <s v="B"/>
    <x v="2"/>
    <x v="1"/>
    <s v="Female"/>
    <x v="1"/>
    <n v="74.709999999999994"/>
    <n v="6"/>
    <n v="22.413"/>
    <n v="470.673"/>
    <x v="17"/>
    <d v="1899-12-30T19:07:00"/>
    <x v="1"/>
    <n v="448.26"/>
    <n v="4.7619047620000003"/>
    <n v="22.413"/>
    <x v="24"/>
  </r>
  <r>
    <s v="744-09-5786"/>
    <s v="B"/>
    <x v="2"/>
    <x v="1"/>
    <s v="Male"/>
    <x v="1"/>
    <n v="22.01"/>
    <n v="6"/>
    <n v="6.6029999999999998"/>
    <n v="138.66300000000001"/>
    <x v="56"/>
    <d v="1899-12-30T18:50:00"/>
    <x v="1"/>
    <n v="132.06"/>
    <n v="4.7619047620000003"/>
    <n v="6.6029999999999998"/>
    <x v="29"/>
  </r>
  <r>
    <s v="727-17-0390"/>
    <s v="A"/>
    <x v="0"/>
    <x v="1"/>
    <s v="Female"/>
    <x v="4"/>
    <n v="63.61"/>
    <n v="5"/>
    <n v="15.9025"/>
    <n v="333.95249999999999"/>
    <x v="32"/>
    <d v="1899-12-30T12:43:00"/>
    <x v="0"/>
    <n v="318.05"/>
    <n v="4.7619047620000003"/>
    <n v="15.9025"/>
    <x v="19"/>
  </r>
  <r>
    <s v="568-88-3448"/>
    <s v="A"/>
    <x v="0"/>
    <x v="1"/>
    <s v="Male"/>
    <x v="0"/>
    <n v="25"/>
    <n v="1"/>
    <n v="1.25"/>
    <n v="26.25"/>
    <x v="2"/>
    <d v="1899-12-30T15:09:00"/>
    <x v="0"/>
    <n v="25"/>
    <n v="4.7619047620000003"/>
    <n v="1.25"/>
    <x v="46"/>
  </r>
  <r>
    <s v="187-83-5490"/>
    <s v="A"/>
    <x v="0"/>
    <x v="0"/>
    <s v="Male"/>
    <x v="1"/>
    <n v="20.77"/>
    <n v="4"/>
    <n v="4.1539999999999999"/>
    <n v="87.233999999999995"/>
    <x v="82"/>
    <d v="1899-12-30T13:47:00"/>
    <x v="1"/>
    <n v="83.08"/>
    <n v="4.7619047620000003"/>
    <n v="4.1539999999999999"/>
    <x v="28"/>
  </r>
  <r>
    <s v="767-54-1907"/>
    <s v="B"/>
    <x v="2"/>
    <x v="0"/>
    <s v="Female"/>
    <x v="5"/>
    <n v="29.56"/>
    <n v="5"/>
    <n v="7.39"/>
    <n v="155.19"/>
    <x v="77"/>
    <d v="1899-12-30T16:59:00"/>
    <x v="1"/>
    <n v="147.80000000000001"/>
    <n v="4.7619047620000003"/>
    <n v="7.39"/>
    <x v="16"/>
  </r>
  <r>
    <s v="710-46-4433"/>
    <s v="B"/>
    <x v="2"/>
    <x v="0"/>
    <s v="Female"/>
    <x v="4"/>
    <n v="77.400000000000006"/>
    <n v="9"/>
    <n v="34.83"/>
    <n v="731.43"/>
    <x v="42"/>
    <d v="1899-12-30T14:15:00"/>
    <x v="2"/>
    <n v="696.6"/>
    <n v="4.7619047620000003"/>
    <n v="34.83"/>
    <x v="10"/>
  </r>
  <r>
    <s v="533-33-5337"/>
    <s v="B"/>
    <x v="2"/>
    <x v="1"/>
    <s v="Male"/>
    <x v="1"/>
    <n v="79.39"/>
    <n v="10"/>
    <n v="39.695"/>
    <n v="833.59500000000003"/>
    <x v="13"/>
    <d v="1899-12-30T20:24:00"/>
    <x v="1"/>
    <n v="793.9"/>
    <n v="4.7619047620000003"/>
    <n v="39.695"/>
    <x v="56"/>
  </r>
  <r>
    <s v="325-90-8763"/>
    <s v="C"/>
    <x v="1"/>
    <x v="0"/>
    <s v="Female"/>
    <x v="1"/>
    <n v="46.57"/>
    <n v="10"/>
    <n v="23.285"/>
    <n v="488.98500000000001"/>
    <x v="3"/>
    <d v="1899-12-30T13:58:00"/>
    <x v="1"/>
    <n v="465.7"/>
    <n v="4.7619047620000003"/>
    <n v="23.285"/>
    <x v="29"/>
  </r>
  <r>
    <s v="729-46-7422"/>
    <s v="C"/>
    <x v="1"/>
    <x v="1"/>
    <s v="Male"/>
    <x v="4"/>
    <n v="35.89"/>
    <n v="1"/>
    <n v="1.7945"/>
    <n v="37.6845"/>
    <x v="55"/>
    <d v="1899-12-30T16:52:00"/>
    <x v="2"/>
    <n v="35.89"/>
    <n v="4.7619047620000003"/>
    <n v="1.7945"/>
    <x v="30"/>
  </r>
  <r>
    <s v="639-76-1242"/>
    <s v="C"/>
    <x v="1"/>
    <x v="1"/>
    <s v="Male"/>
    <x v="4"/>
    <n v="40.520000000000003"/>
    <n v="5"/>
    <n v="10.130000000000001"/>
    <n v="212.73"/>
    <x v="36"/>
    <d v="1899-12-30T15:19:00"/>
    <x v="1"/>
    <n v="202.6"/>
    <n v="4.7619047620000003"/>
    <n v="10.130000000000001"/>
    <x v="10"/>
  </r>
  <r>
    <s v="234-03-4040"/>
    <s v="B"/>
    <x v="2"/>
    <x v="0"/>
    <s v="Female"/>
    <x v="4"/>
    <n v="73.05"/>
    <n v="10"/>
    <n v="36.524999999999999"/>
    <n v="767.02499999999998"/>
    <x v="2"/>
    <d v="1899-12-30T12:25:00"/>
    <x v="2"/>
    <n v="730.5"/>
    <n v="4.7619047620000003"/>
    <n v="36.524999999999999"/>
    <x v="44"/>
  </r>
  <r>
    <s v="326-71-2155"/>
    <s v="C"/>
    <x v="1"/>
    <x v="1"/>
    <s v="Female"/>
    <x v="3"/>
    <n v="73.95"/>
    <n v="4"/>
    <n v="14.79"/>
    <n v="310.58999999999997"/>
    <x v="36"/>
    <d v="1899-12-30T10:02:00"/>
    <x v="1"/>
    <n v="295.8"/>
    <n v="4.7619047620000003"/>
    <n v="14.79"/>
    <x v="36"/>
  </r>
  <r>
    <s v="320-32-8842"/>
    <s v="C"/>
    <x v="1"/>
    <x v="0"/>
    <s v="Female"/>
    <x v="4"/>
    <n v="22.62"/>
    <n v="1"/>
    <n v="1.131"/>
    <n v="23.751000000000001"/>
    <x v="85"/>
    <d v="1899-12-30T18:58:00"/>
    <x v="1"/>
    <n v="22.62"/>
    <n v="4.7619047620000003"/>
    <n v="1.131"/>
    <x v="41"/>
  </r>
  <r>
    <s v="470-32-9057"/>
    <s v="A"/>
    <x v="0"/>
    <x v="0"/>
    <s v="Male"/>
    <x v="4"/>
    <n v="51.34"/>
    <n v="5"/>
    <n v="12.835000000000001"/>
    <n v="269.53500000000003"/>
    <x v="61"/>
    <d v="1899-12-30T15:31:00"/>
    <x v="2"/>
    <n v="256.7"/>
    <n v="4.7619047620000003"/>
    <n v="12.835000000000001"/>
    <x v="0"/>
  </r>
  <r>
    <s v="878-30-2331"/>
    <s v="C"/>
    <x v="1"/>
    <x v="0"/>
    <s v="Female"/>
    <x v="3"/>
    <n v="54.55"/>
    <n v="10"/>
    <n v="27.274999999999999"/>
    <n v="572.77499999999998"/>
    <x v="22"/>
    <d v="1899-12-30T11:22:00"/>
    <x v="2"/>
    <n v="545.5"/>
    <n v="4.7619047620000003"/>
    <n v="27.274999999999999"/>
    <x v="12"/>
  </r>
  <r>
    <s v="440-59-5691"/>
    <s v="C"/>
    <x v="1"/>
    <x v="0"/>
    <s v="Female"/>
    <x v="0"/>
    <n v="37.15"/>
    <n v="7"/>
    <n v="13.0025"/>
    <n v="273.05250000000001"/>
    <x v="4"/>
    <d v="1899-12-30T13:12:00"/>
    <x v="2"/>
    <n v="260.05"/>
    <n v="4.7619047620000003"/>
    <n v="13.0025"/>
    <x v="25"/>
  </r>
  <r>
    <s v="554-53-3790"/>
    <s v="B"/>
    <x v="2"/>
    <x v="1"/>
    <s v="Male"/>
    <x v="3"/>
    <n v="37.020000000000003"/>
    <n v="6"/>
    <n v="11.106"/>
    <n v="233.226"/>
    <x v="23"/>
    <d v="1899-12-30T18:33:00"/>
    <x v="1"/>
    <n v="222.12"/>
    <n v="4.7619047620000003"/>
    <n v="11.106"/>
    <x v="10"/>
  </r>
  <r>
    <s v="746-19-0921"/>
    <s v="C"/>
    <x v="1"/>
    <x v="1"/>
    <s v="Male"/>
    <x v="4"/>
    <n v="21.58"/>
    <n v="1"/>
    <n v="1.079"/>
    <n v="22.658999999999999"/>
    <x v="57"/>
    <d v="1899-12-30T10:02:00"/>
    <x v="0"/>
    <n v="21.58"/>
    <n v="4.7619047620000003"/>
    <n v="1.079"/>
    <x v="8"/>
  </r>
  <r>
    <s v="233-34-0817"/>
    <s v="C"/>
    <x v="1"/>
    <x v="0"/>
    <s v="Female"/>
    <x v="1"/>
    <n v="98.84"/>
    <n v="1"/>
    <n v="4.9420000000000002"/>
    <n v="103.782"/>
    <x v="42"/>
    <d v="1899-12-30T11:21:00"/>
    <x v="1"/>
    <n v="98.84"/>
    <n v="4.7619047620000003"/>
    <n v="4.9420000000000002"/>
    <x v="3"/>
  </r>
  <r>
    <s v="767-05-1286"/>
    <s v="C"/>
    <x v="1"/>
    <x v="0"/>
    <s v="Female"/>
    <x v="2"/>
    <n v="83.77"/>
    <n v="6"/>
    <n v="25.131"/>
    <n v="527.75099999999998"/>
    <x v="54"/>
    <d v="1899-12-30T12:10:00"/>
    <x v="0"/>
    <n v="502.62"/>
    <n v="4.7619047620000003"/>
    <n v="25.131"/>
    <x v="38"/>
  </r>
  <r>
    <s v="340-21-9136"/>
    <s v="A"/>
    <x v="0"/>
    <x v="0"/>
    <s v="Female"/>
    <x v="3"/>
    <n v="40.049999999999997"/>
    <n v="4"/>
    <n v="8.01"/>
    <n v="168.21"/>
    <x v="25"/>
    <d v="1899-12-30T11:40:00"/>
    <x v="1"/>
    <n v="160.19999999999999"/>
    <n v="4.7619047620000003"/>
    <n v="8.01"/>
    <x v="58"/>
  </r>
  <r>
    <s v="405-31-3305"/>
    <s v="A"/>
    <x v="0"/>
    <x v="0"/>
    <s v="Male"/>
    <x v="5"/>
    <n v="43.13"/>
    <n v="10"/>
    <n v="21.565000000000001"/>
    <n v="452.86500000000001"/>
    <x v="30"/>
    <d v="1899-12-30T18:31:00"/>
    <x v="2"/>
    <n v="431.3"/>
    <n v="4.7619047620000003"/>
    <n v="21.565000000000001"/>
    <x v="46"/>
  </r>
  <r>
    <s v="731-59-7531"/>
    <s v="B"/>
    <x v="2"/>
    <x v="0"/>
    <s v="Male"/>
    <x v="0"/>
    <n v="72.569999999999993"/>
    <n v="8"/>
    <n v="29.027999999999999"/>
    <n v="609.58799999999997"/>
    <x v="73"/>
    <d v="1899-12-30T17:58:00"/>
    <x v="1"/>
    <n v="580.55999999999995"/>
    <n v="4.7619047620000003"/>
    <n v="29.027999999999999"/>
    <x v="15"/>
  </r>
  <r>
    <s v="676-39-6028"/>
    <s v="A"/>
    <x v="0"/>
    <x v="0"/>
    <s v="Female"/>
    <x v="1"/>
    <n v="64.44"/>
    <n v="5"/>
    <n v="16.11"/>
    <n v="338.31"/>
    <x v="73"/>
    <d v="1899-12-30T17:04:00"/>
    <x v="1"/>
    <n v="322.2"/>
    <n v="4.7619047620000003"/>
    <n v="16.11"/>
    <x v="37"/>
  </r>
  <r>
    <s v="502-05-1910"/>
    <s v="A"/>
    <x v="0"/>
    <x v="1"/>
    <s v="Male"/>
    <x v="0"/>
    <n v="65.180000000000007"/>
    <n v="3"/>
    <n v="9.7769999999999992"/>
    <n v="205.31700000000001"/>
    <x v="6"/>
    <d v="1899-12-30T20:35:00"/>
    <x v="2"/>
    <n v="195.54"/>
    <n v="4.7619047620000003"/>
    <n v="9.7769999999999992"/>
    <x v="31"/>
  </r>
  <r>
    <s v="485-30-8700"/>
    <s v="A"/>
    <x v="0"/>
    <x v="1"/>
    <s v="Female"/>
    <x v="3"/>
    <n v="33.26"/>
    <n v="5"/>
    <n v="8.3149999999999995"/>
    <n v="174.61500000000001"/>
    <x v="79"/>
    <d v="1899-12-30T16:10:00"/>
    <x v="2"/>
    <n v="166.3"/>
    <n v="4.7619047620000003"/>
    <n v="8.3149999999999995"/>
    <x v="50"/>
  </r>
  <r>
    <s v="598-47-9715"/>
    <s v="C"/>
    <x v="1"/>
    <x v="1"/>
    <s v="Male"/>
    <x v="1"/>
    <n v="84.07"/>
    <n v="4"/>
    <n v="16.814"/>
    <n v="353.09399999999999"/>
    <x v="37"/>
    <d v="1899-12-30T16:54:00"/>
    <x v="0"/>
    <n v="336.28"/>
    <n v="4.7619047620000003"/>
    <n v="16.814"/>
    <x v="18"/>
  </r>
  <r>
    <s v="701-69-8742"/>
    <s v="B"/>
    <x v="2"/>
    <x v="1"/>
    <s v="Male"/>
    <x v="3"/>
    <n v="34.369999999999997"/>
    <n v="10"/>
    <n v="17.184999999999999"/>
    <n v="360.88499999999999"/>
    <x v="32"/>
    <d v="1899-12-30T10:11:00"/>
    <x v="0"/>
    <n v="343.7"/>
    <n v="4.7619047620000003"/>
    <n v="17.184999999999999"/>
    <x v="24"/>
  </r>
  <r>
    <s v="575-67-1508"/>
    <s v="A"/>
    <x v="0"/>
    <x v="1"/>
    <s v="Male"/>
    <x v="1"/>
    <n v="38.6"/>
    <n v="1"/>
    <n v="1.93"/>
    <n v="40.53"/>
    <x v="71"/>
    <d v="1899-12-30T11:26:00"/>
    <x v="0"/>
    <n v="38.6"/>
    <n v="4.7619047620000003"/>
    <n v="1.93"/>
    <x v="24"/>
  </r>
  <r>
    <s v="541-08-3113"/>
    <s v="C"/>
    <x v="1"/>
    <x v="1"/>
    <s v="Male"/>
    <x v="4"/>
    <n v="65.97"/>
    <n v="8"/>
    <n v="26.388000000000002"/>
    <n v="554.14800000000002"/>
    <x v="30"/>
    <d v="1899-12-30T20:29:00"/>
    <x v="1"/>
    <n v="527.76"/>
    <n v="4.7619047620000003"/>
    <n v="26.388000000000002"/>
    <x v="3"/>
  </r>
  <r>
    <s v="246-11-3901"/>
    <s v="C"/>
    <x v="1"/>
    <x v="1"/>
    <s v="Female"/>
    <x v="1"/>
    <n v="32.799999999999997"/>
    <n v="10"/>
    <n v="16.399999999999999"/>
    <n v="344.4"/>
    <x v="42"/>
    <d v="1899-12-30T12:12:00"/>
    <x v="1"/>
    <n v="328"/>
    <n v="4.7619047620000003"/>
    <n v="16.399999999999999"/>
    <x v="56"/>
  </r>
  <r>
    <s v="674-15-9296"/>
    <s v="A"/>
    <x v="0"/>
    <x v="1"/>
    <s v="Male"/>
    <x v="3"/>
    <n v="37.14"/>
    <n v="5"/>
    <n v="9.2850000000000001"/>
    <n v="194.98500000000001"/>
    <x v="66"/>
    <d v="1899-12-30T13:05:00"/>
    <x v="0"/>
    <n v="185.7"/>
    <n v="4.7619047620000003"/>
    <n v="9.2850000000000001"/>
    <x v="59"/>
  </r>
  <r>
    <s v="305-18-3552"/>
    <s v="B"/>
    <x v="2"/>
    <x v="0"/>
    <s v="Male"/>
    <x v="2"/>
    <n v="60.38"/>
    <n v="10"/>
    <n v="30.19"/>
    <n v="633.99"/>
    <x v="12"/>
    <d v="1899-12-30T16:19:00"/>
    <x v="1"/>
    <n v="603.79999999999995"/>
    <n v="4.7619047620000003"/>
    <n v="30.19"/>
    <x v="22"/>
  </r>
  <r>
    <s v="493-65-6248"/>
    <s v="C"/>
    <x v="1"/>
    <x v="0"/>
    <s v="Female"/>
    <x v="3"/>
    <n v="36.979999999999997"/>
    <n v="10"/>
    <n v="18.489999999999998"/>
    <n v="388.29"/>
    <x v="17"/>
    <d v="1899-12-30T19:48:00"/>
    <x v="2"/>
    <n v="369.8"/>
    <n v="4.7619047620000003"/>
    <n v="18.489999999999998"/>
    <x v="27"/>
  </r>
  <r>
    <s v="438-01-4015"/>
    <s v="B"/>
    <x v="2"/>
    <x v="0"/>
    <s v="Female"/>
    <x v="3"/>
    <n v="49.49"/>
    <n v="4"/>
    <n v="9.8979999999999997"/>
    <n v="207.858"/>
    <x v="76"/>
    <d v="1899-12-30T15:25:00"/>
    <x v="0"/>
    <n v="197.96"/>
    <n v="4.7619047620000003"/>
    <n v="9.8979999999999997"/>
    <x v="37"/>
  </r>
  <r>
    <s v="709-58-4068"/>
    <s v="B"/>
    <x v="2"/>
    <x v="1"/>
    <s v="Female"/>
    <x v="5"/>
    <n v="41.09"/>
    <n v="10"/>
    <n v="20.545000000000002"/>
    <n v="431.44499999999999"/>
    <x v="38"/>
    <d v="1899-12-30T14:42:00"/>
    <x v="1"/>
    <n v="410.9"/>
    <n v="4.7619047620000003"/>
    <n v="20.545000000000002"/>
    <x v="48"/>
  </r>
  <r>
    <s v="795-49-7276"/>
    <s v="A"/>
    <x v="0"/>
    <x v="1"/>
    <s v="Male"/>
    <x v="5"/>
    <n v="37.15"/>
    <n v="4"/>
    <n v="7.43"/>
    <n v="156.03"/>
    <x v="28"/>
    <d v="1899-12-30T18:59:00"/>
    <x v="0"/>
    <n v="148.6"/>
    <n v="4.7619047620000003"/>
    <n v="7.43"/>
    <x v="47"/>
  </r>
  <r>
    <s v="556-72-8512"/>
    <s v="C"/>
    <x v="1"/>
    <x v="1"/>
    <s v="Male"/>
    <x v="2"/>
    <n v="22.96"/>
    <n v="1"/>
    <n v="1.1479999999999999"/>
    <n v="24.108000000000001"/>
    <x v="74"/>
    <d v="1899-12-30T20:47:00"/>
    <x v="1"/>
    <n v="22.96"/>
    <n v="4.7619047620000003"/>
    <n v="1.1479999999999999"/>
    <x v="42"/>
  </r>
  <r>
    <s v="627-95-3243"/>
    <s v="B"/>
    <x v="2"/>
    <x v="0"/>
    <s v="Female"/>
    <x v="2"/>
    <n v="77.680000000000007"/>
    <n v="9"/>
    <n v="34.956000000000003"/>
    <n v="734.07600000000002"/>
    <x v="87"/>
    <d v="1899-12-30T13:21:00"/>
    <x v="0"/>
    <n v="699.12"/>
    <n v="4.7619047620000003"/>
    <n v="34.956000000000003"/>
    <x v="57"/>
  </r>
  <r>
    <s v="686-41-0932"/>
    <s v="B"/>
    <x v="2"/>
    <x v="1"/>
    <s v="Female"/>
    <x v="5"/>
    <n v="34.700000000000003"/>
    <n v="2"/>
    <n v="3.47"/>
    <n v="72.87"/>
    <x v="45"/>
    <d v="1899-12-30T19:48:00"/>
    <x v="0"/>
    <n v="69.400000000000006"/>
    <n v="4.7619047620000003"/>
    <n v="3.47"/>
    <x v="13"/>
  </r>
  <r>
    <s v="510-09-5628"/>
    <s v="A"/>
    <x v="0"/>
    <x v="0"/>
    <s v="Female"/>
    <x v="5"/>
    <n v="19.66"/>
    <n v="10"/>
    <n v="9.83"/>
    <n v="206.43"/>
    <x v="20"/>
    <d v="1899-12-30T18:20:00"/>
    <x v="2"/>
    <n v="196.6"/>
    <n v="4.7619047620000003"/>
    <n v="9.83"/>
    <x v="8"/>
  </r>
  <r>
    <s v="608-04-3797"/>
    <s v="B"/>
    <x v="2"/>
    <x v="0"/>
    <s v="Female"/>
    <x v="0"/>
    <n v="25.32"/>
    <n v="8"/>
    <n v="10.128"/>
    <n v="212.68799999999999"/>
    <x v="19"/>
    <d v="1899-12-30T20:24:00"/>
    <x v="0"/>
    <n v="202.56"/>
    <n v="4.7619047620000003"/>
    <n v="10.128"/>
    <x v="44"/>
  </r>
  <r>
    <s v="148-82-2527"/>
    <s v="C"/>
    <x v="1"/>
    <x v="0"/>
    <s v="Female"/>
    <x v="2"/>
    <n v="12.12"/>
    <n v="10"/>
    <n v="6.06"/>
    <n v="127.26"/>
    <x v="19"/>
    <d v="1899-12-30T13:44:00"/>
    <x v="2"/>
    <n v="121.2"/>
    <n v="4.7619047620000003"/>
    <n v="6.06"/>
    <x v="3"/>
  </r>
  <r>
    <s v="437-53-3084"/>
    <s v="B"/>
    <x v="2"/>
    <x v="1"/>
    <s v="Male"/>
    <x v="5"/>
    <n v="99.89"/>
    <n v="2"/>
    <n v="9.9890000000000008"/>
    <n v="209.76900000000001"/>
    <x v="84"/>
    <d v="1899-12-30T11:48:00"/>
    <x v="0"/>
    <n v="199.78"/>
    <n v="4.7619047620000003"/>
    <n v="9.9890000000000008"/>
    <x v="12"/>
  </r>
  <r>
    <s v="632-32-4574"/>
    <s v="B"/>
    <x v="2"/>
    <x v="1"/>
    <s v="Male"/>
    <x v="3"/>
    <n v="75.92"/>
    <n v="8"/>
    <n v="30.367999999999999"/>
    <n v="637.72799999999995"/>
    <x v="80"/>
    <d v="1899-12-30T14:14:00"/>
    <x v="1"/>
    <n v="607.36"/>
    <n v="4.7619047620000003"/>
    <n v="30.367999999999999"/>
    <x v="46"/>
  </r>
  <r>
    <s v="556-97-7101"/>
    <s v="C"/>
    <x v="1"/>
    <x v="1"/>
    <s v="Female"/>
    <x v="1"/>
    <n v="63.22"/>
    <n v="2"/>
    <n v="6.3220000000000001"/>
    <n v="132.762"/>
    <x v="17"/>
    <d v="1899-12-30T15:51:00"/>
    <x v="1"/>
    <n v="126.44"/>
    <n v="4.7619047620000003"/>
    <n v="6.3220000000000001"/>
    <x v="23"/>
  </r>
  <r>
    <s v="862-59-8517"/>
    <s v="C"/>
    <x v="1"/>
    <x v="1"/>
    <s v="Female"/>
    <x v="4"/>
    <n v="90.24"/>
    <n v="6"/>
    <n v="27.071999999999999"/>
    <n v="568.51199999999994"/>
    <x v="3"/>
    <d v="1899-12-30T11:17:00"/>
    <x v="1"/>
    <n v="541.44000000000005"/>
    <n v="4.7619047620000003"/>
    <n v="27.071999999999999"/>
    <x v="56"/>
  </r>
  <r>
    <s v="401-18-8016"/>
    <s v="B"/>
    <x v="2"/>
    <x v="0"/>
    <s v="Female"/>
    <x v="3"/>
    <n v="98.13"/>
    <n v="1"/>
    <n v="4.9065000000000003"/>
    <n v="103.0365"/>
    <x v="18"/>
    <d v="1899-12-30T17:36:00"/>
    <x v="1"/>
    <n v="98.13"/>
    <n v="4.7619047620000003"/>
    <n v="4.9065000000000003"/>
    <x v="60"/>
  </r>
  <r>
    <s v="420-18-8989"/>
    <s v="A"/>
    <x v="0"/>
    <x v="0"/>
    <s v="Female"/>
    <x v="3"/>
    <n v="51.52"/>
    <n v="8"/>
    <n v="20.608000000000001"/>
    <n v="432.76799999999997"/>
    <x v="30"/>
    <d v="1899-12-30T15:47:00"/>
    <x v="1"/>
    <n v="412.16"/>
    <n v="4.7619047620000003"/>
    <n v="20.608000000000001"/>
    <x v="1"/>
  </r>
  <r>
    <s v="277-63-2961"/>
    <s v="B"/>
    <x v="2"/>
    <x v="0"/>
    <s v="Male"/>
    <x v="3"/>
    <n v="73.97"/>
    <n v="1"/>
    <n v="3.6985000000000001"/>
    <n v="77.668499999999995"/>
    <x v="36"/>
    <d v="1899-12-30T15:53:00"/>
    <x v="2"/>
    <n v="73.97"/>
    <n v="4.7619047620000003"/>
    <n v="3.6985000000000001"/>
    <x v="38"/>
  </r>
  <r>
    <s v="573-98-8548"/>
    <s v="C"/>
    <x v="1"/>
    <x v="0"/>
    <s v="Female"/>
    <x v="5"/>
    <n v="31.9"/>
    <n v="1"/>
    <n v="1.595"/>
    <n v="33.494999999999997"/>
    <x v="0"/>
    <d v="1899-12-30T12:40:00"/>
    <x v="0"/>
    <n v="31.9"/>
    <n v="4.7619047620000003"/>
    <n v="1.595"/>
    <x v="0"/>
  </r>
  <r>
    <s v="620-02-2046"/>
    <s v="C"/>
    <x v="1"/>
    <x v="1"/>
    <s v="Male"/>
    <x v="2"/>
    <n v="69.400000000000006"/>
    <n v="2"/>
    <n v="6.94"/>
    <n v="145.74"/>
    <x v="3"/>
    <d v="1899-12-30T19:48:00"/>
    <x v="0"/>
    <n v="138.80000000000001"/>
    <n v="4.7619047620000003"/>
    <n v="6.94"/>
    <x v="54"/>
  </r>
  <r>
    <s v="282-35-2475"/>
    <s v="B"/>
    <x v="2"/>
    <x v="1"/>
    <s v="Female"/>
    <x v="3"/>
    <n v="93.31"/>
    <n v="2"/>
    <n v="9.3309999999999995"/>
    <n v="195.95099999999999"/>
    <x v="5"/>
    <d v="1899-12-30T17:53:00"/>
    <x v="1"/>
    <n v="186.62"/>
    <n v="4.7619047620000003"/>
    <n v="9.3309999999999995"/>
    <x v="31"/>
  </r>
  <r>
    <s v="511-54-3087"/>
    <s v="B"/>
    <x v="2"/>
    <x v="1"/>
    <s v="Male"/>
    <x v="3"/>
    <n v="88.45"/>
    <n v="1"/>
    <n v="4.4225000000000003"/>
    <n v="92.872500000000002"/>
    <x v="6"/>
    <d v="1899-12-30T16:36:00"/>
    <x v="2"/>
    <n v="88.45"/>
    <n v="4.7619047620000003"/>
    <n v="4.4225000000000003"/>
    <x v="33"/>
  </r>
  <r>
    <s v="726-29-6793"/>
    <s v="A"/>
    <x v="0"/>
    <x v="0"/>
    <s v="Male"/>
    <x v="1"/>
    <n v="24.18"/>
    <n v="8"/>
    <n v="9.6720000000000006"/>
    <n v="203.11199999999999"/>
    <x v="26"/>
    <d v="1899-12-30T20:54:00"/>
    <x v="0"/>
    <n v="193.44"/>
    <n v="4.7619047620000003"/>
    <n v="9.6720000000000006"/>
    <x v="57"/>
  </r>
  <r>
    <s v="387-49-4215"/>
    <s v="B"/>
    <x v="2"/>
    <x v="0"/>
    <s v="Female"/>
    <x v="3"/>
    <n v="48.5"/>
    <n v="3"/>
    <n v="7.2750000000000004"/>
    <n v="152.77500000000001"/>
    <x v="66"/>
    <d v="1899-12-30T12:50:00"/>
    <x v="1"/>
    <n v="145.5"/>
    <n v="4.7619047620000003"/>
    <n v="7.2750000000000004"/>
    <x v="24"/>
  </r>
  <r>
    <s v="862-17-9201"/>
    <s v="B"/>
    <x v="2"/>
    <x v="1"/>
    <s v="Female"/>
    <x v="4"/>
    <n v="84.05"/>
    <n v="6"/>
    <n v="25.215"/>
    <n v="529.51499999999999"/>
    <x v="71"/>
    <d v="1899-12-30T10:48:00"/>
    <x v="2"/>
    <n v="504.3"/>
    <n v="4.7619047620000003"/>
    <n v="25.215"/>
    <x v="25"/>
  </r>
  <r>
    <s v="291-21-5991"/>
    <s v="B"/>
    <x v="2"/>
    <x v="0"/>
    <s v="Male"/>
    <x v="0"/>
    <n v="61.29"/>
    <n v="5"/>
    <n v="15.3225"/>
    <n v="321.77249999999998"/>
    <x v="14"/>
    <d v="1899-12-30T14:28:00"/>
    <x v="1"/>
    <n v="306.45"/>
    <n v="4.7619047620000003"/>
    <n v="15.3225"/>
    <x v="27"/>
  </r>
  <r>
    <s v="602-80-9671"/>
    <s v="C"/>
    <x v="1"/>
    <x v="0"/>
    <s v="Female"/>
    <x v="2"/>
    <n v="15.95"/>
    <n v="6"/>
    <n v="4.7850000000000001"/>
    <n v="100.485"/>
    <x v="57"/>
    <d v="1899-12-30T17:15:00"/>
    <x v="2"/>
    <n v="95.7"/>
    <n v="4.7619047620000003"/>
    <n v="4.7850000000000001"/>
    <x v="20"/>
  </r>
  <r>
    <s v="347-72-6115"/>
    <s v="B"/>
    <x v="2"/>
    <x v="0"/>
    <s v="Female"/>
    <x v="3"/>
    <n v="90.74"/>
    <n v="7"/>
    <n v="31.759"/>
    <n v="666.93899999999996"/>
    <x v="65"/>
    <d v="1899-12-30T18:03:00"/>
    <x v="2"/>
    <n v="635.17999999999995"/>
    <n v="4.7619047620000003"/>
    <n v="31.759"/>
    <x v="56"/>
  </r>
  <r>
    <s v="209-61-0206"/>
    <s v="A"/>
    <x v="0"/>
    <x v="1"/>
    <s v="Female"/>
    <x v="2"/>
    <n v="42.91"/>
    <n v="5"/>
    <n v="10.727499999999999"/>
    <n v="225.2775"/>
    <x v="0"/>
    <d v="1899-12-30T17:29:00"/>
    <x v="0"/>
    <n v="214.55"/>
    <n v="4.7619047620000003"/>
    <n v="10.727499999999999"/>
    <x v="36"/>
  </r>
  <r>
    <s v="595-27-4851"/>
    <s v="A"/>
    <x v="0"/>
    <x v="1"/>
    <s v="Female"/>
    <x v="5"/>
    <n v="54.28"/>
    <n v="7"/>
    <n v="18.998000000000001"/>
    <n v="398.95800000000003"/>
    <x v="3"/>
    <d v="1899-12-30T18:05:00"/>
    <x v="0"/>
    <n v="379.96"/>
    <n v="4.7619047620000003"/>
    <n v="18.998000000000001"/>
    <x v="39"/>
  </r>
  <r>
    <s v="189-52-0236"/>
    <s v="A"/>
    <x v="0"/>
    <x v="1"/>
    <s v="Male"/>
    <x v="1"/>
    <n v="99.55"/>
    <n v="7"/>
    <n v="34.842500000000001"/>
    <n v="731.6925"/>
    <x v="86"/>
    <d v="1899-12-30T12:07:00"/>
    <x v="1"/>
    <n v="696.85"/>
    <n v="4.7619047620000003"/>
    <n v="34.842500000000001"/>
    <x v="29"/>
  </r>
  <r>
    <s v="503-07-0930"/>
    <s v="C"/>
    <x v="1"/>
    <x v="0"/>
    <s v="Male"/>
    <x v="3"/>
    <n v="58.39"/>
    <n v="7"/>
    <n v="20.436499999999999"/>
    <n v="429.16649999999998"/>
    <x v="55"/>
    <d v="1899-12-30T19:49:00"/>
    <x v="2"/>
    <n v="408.73"/>
    <n v="4.7619047620000003"/>
    <n v="20.436499999999999"/>
    <x v="13"/>
  </r>
  <r>
    <s v="413-20-6708"/>
    <s v="C"/>
    <x v="1"/>
    <x v="0"/>
    <s v="Female"/>
    <x v="5"/>
    <n v="51.47"/>
    <n v="1"/>
    <n v="2.5735000000000001"/>
    <n v="54.043500000000002"/>
    <x v="79"/>
    <d v="1899-12-30T15:52:00"/>
    <x v="0"/>
    <n v="51.47"/>
    <n v="4.7619047620000003"/>
    <n v="2.5735000000000001"/>
    <x v="23"/>
  </r>
  <r>
    <s v="425-85-2085"/>
    <s v="B"/>
    <x v="2"/>
    <x v="0"/>
    <s v="Male"/>
    <x v="0"/>
    <n v="54.86"/>
    <n v="5"/>
    <n v="13.715"/>
    <n v="288.01499999999999"/>
    <x v="14"/>
    <d v="1899-12-30T16:48:00"/>
    <x v="0"/>
    <n v="274.3"/>
    <n v="4.7619047620000003"/>
    <n v="13.715"/>
    <x v="57"/>
  </r>
  <r>
    <s v="521-18-7827"/>
    <s v="C"/>
    <x v="1"/>
    <x v="0"/>
    <s v="Male"/>
    <x v="2"/>
    <n v="39.39"/>
    <n v="5"/>
    <n v="9.8475000000000001"/>
    <n v="206.79750000000001"/>
    <x v="49"/>
    <d v="1899-12-30T20:46:00"/>
    <x v="2"/>
    <n v="196.95"/>
    <n v="4.7619047620000003"/>
    <n v="9.8475000000000001"/>
    <x v="44"/>
  </r>
  <r>
    <s v="220-28-1851"/>
    <s v="A"/>
    <x v="0"/>
    <x v="1"/>
    <s v="Male"/>
    <x v="2"/>
    <n v="34.729999999999997"/>
    <n v="2"/>
    <n v="3.4729999999999999"/>
    <n v="72.933000000000007"/>
    <x v="59"/>
    <d v="1899-12-30T18:14:00"/>
    <x v="0"/>
    <n v="69.459999999999994"/>
    <n v="4.7619047620000003"/>
    <n v="3.4729999999999999"/>
    <x v="58"/>
  </r>
  <r>
    <s v="600-38-9738"/>
    <s v="C"/>
    <x v="1"/>
    <x v="0"/>
    <s v="Male"/>
    <x v="3"/>
    <n v="71.92"/>
    <n v="5"/>
    <n v="17.98"/>
    <n v="377.58"/>
    <x v="29"/>
    <d v="1899-12-30T15:05:00"/>
    <x v="2"/>
    <n v="359.6"/>
    <n v="4.7619047620000003"/>
    <n v="17.98"/>
    <x v="42"/>
  </r>
  <r>
    <s v="734-91-1155"/>
    <s v="B"/>
    <x v="2"/>
    <x v="1"/>
    <s v="Female"/>
    <x v="1"/>
    <n v="45.71"/>
    <n v="3"/>
    <n v="6.8564999999999996"/>
    <n v="143.98650000000001"/>
    <x v="58"/>
    <d v="1899-12-30T10:34:00"/>
    <x v="2"/>
    <n v="137.13"/>
    <n v="4.7619047620000003"/>
    <n v="6.8564999999999996"/>
    <x v="25"/>
  </r>
  <r>
    <s v="451-28-5717"/>
    <s v="C"/>
    <x v="1"/>
    <x v="0"/>
    <s v="Female"/>
    <x v="2"/>
    <n v="83.17"/>
    <n v="6"/>
    <n v="24.951000000000001"/>
    <n v="523.971"/>
    <x v="80"/>
    <d v="1899-12-30T11:23:00"/>
    <x v="1"/>
    <n v="499.02"/>
    <n v="4.7619047620000003"/>
    <n v="24.951000000000001"/>
    <x v="48"/>
  </r>
  <r>
    <s v="609-81-8548"/>
    <s v="A"/>
    <x v="0"/>
    <x v="0"/>
    <s v="Female"/>
    <x v="2"/>
    <n v="37.44"/>
    <n v="6"/>
    <n v="11.231999999999999"/>
    <n v="235.87200000000001"/>
    <x v="10"/>
    <d v="1899-12-30T13:55:00"/>
    <x v="2"/>
    <n v="224.64"/>
    <n v="4.7619047620000003"/>
    <n v="11.231999999999999"/>
    <x v="9"/>
  </r>
  <r>
    <s v="133-14-7229"/>
    <s v="C"/>
    <x v="1"/>
    <x v="1"/>
    <s v="Male"/>
    <x v="0"/>
    <n v="62.87"/>
    <n v="2"/>
    <n v="6.2869999999999999"/>
    <n v="132.02699999999999"/>
    <x v="17"/>
    <d v="1899-12-30T11:43:00"/>
    <x v="1"/>
    <n v="125.74"/>
    <n v="4.7619047620000003"/>
    <n v="6.2869999999999999"/>
    <x v="59"/>
  </r>
  <r>
    <s v="534-01-4457"/>
    <s v="A"/>
    <x v="0"/>
    <x v="1"/>
    <s v="Male"/>
    <x v="4"/>
    <n v="81.709999999999994"/>
    <n v="6"/>
    <n v="24.513000000000002"/>
    <n v="514.77300000000002"/>
    <x v="3"/>
    <d v="1899-12-30T14:36:00"/>
    <x v="2"/>
    <n v="490.26"/>
    <n v="4.7619047620000003"/>
    <n v="24.513000000000002"/>
    <x v="7"/>
  </r>
  <r>
    <s v="719-89-8991"/>
    <s v="A"/>
    <x v="0"/>
    <x v="0"/>
    <s v="Female"/>
    <x v="3"/>
    <n v="91.41"/>
    <n v="5"/>
    <n v="22.852499999999999"/>
    <n v="479.90249999999997"/>
    <x v="6"/>
    <d v="1899-12-30T16:03:00"/>
    <x v="0"/>
    <n v="457.05"/>
    <n v="4.7619047620000003"/>
    <n v="22.852499999999999"/>
    <x v="12"/>
  </r>
  <r>
    <s v="286-62-6248"/>
    <s v="B"/>
    <x v="2"/>
    <x v="1"/>
    <s v="Male"/>
    <x v="5"/>
    <n v="39.21"/>
    <n v="4"/>
    <n v="7.8419999999999996"/>
    <n v="164.68199999999999"/>
    <x v="65"/>
    <d v="1899-12-30T20:03:00"/>
    <x v="2"/>
    <n v="156.84"/>
    <n v="4.7619047620000003"/>
    <n v="7.8419999999999996"/>
    <x v="54"/>
  </r>
  <r>
    <s v="339-38-9982"/>
    <s v="B"/>
    <x v="2"/>
    <x v="0"/>
    <s v="Male"/>
    <x v="5"/>
    <n v="59.86"/>
    <n v="2"/>
    <n v="5.9859999999999998"/>
    <n v="125.706"/>
    <x v="50"/>
    <d v="1899-12-30T14:55:00"/>
    <x v="0"/>
    <n v="119.72"/>
    <n v="4.7619047620000003"/>
    <n v="5.9859999999999998"/>
    <x v="24"/>
  </r>
  <r>
    <s v="827-44-5872"/>
    <s v="B"/>
    <x v="2"/>
    <x v="0"/>
    <s v="Female"/>
    <x v="4"/>
    <n v="54.36"/>
    <n v="10"/>
    <n v="27.18"/>
    <n v="570.78"/>
    <x v="13"/>
    <d v="1899-12-30T11:28:00"/>
    <x v="2"/>
    <n v="543.6"/>
    <n v="4.7619047620000003"/>
    <n v="27.18"/>
    <x v="36"/>
  </r>
  <r>
    <s v="827-77-7633"/>
    <s v="A"/>
    <x v="0"/>
    <x v="1"/>
    <s v="Male"/>
    <x v="3"/>
    <n v="98.09"/>
    <n v="9"/>
    <n v="44.140500000000003"/>
    <n v="926.95050000000003"/>
    <x v="21"/>
    <d v="1899-12-30T19:41:00"/>
    <x v="1"/>
    <n v="882.81"/>
    <n v="4.7619047620000003"/>
    <n v="44.140500000000003"/>
    <x v="39"/>
  </r>
  <r>
    <s v="287-83-1405"/>
    <s v="A"/>
    <x v="0"/>
    <x v="1"/>
    <s v="Male"/>
    <x v="0"/>
    <n v="25.43"/>
    <n v="6"/>
    <n v="7.6289999999999996"/>
    <n v="160.209"/>
    <x v="12"/>
    <d v="1899-12-30T19:01:00"/>
    <x v="0"/>
    <n v="152.58000000000001"/>
    <n v="4.7619047620000003"/>
    <n v="7.6289999999999996"/>
    <x v="27"/>
  </r>
  <r>
    <s v="435-13-4908"/>
    <s v="A"/>
    <x v="0"/>
    <x v="0"/>
    <s v="Male"/>
    <x v="5"/>
    <n v="86.68"/>
    <n v="8"/>
    <n v="34.671999999999997"/>
    <n v="728.11199999999997"/>
    <x v="46"/>
    <d v="1899-12-30T18:04:00"/>
    <x v="2"/>
    <n v="693.44"/>
    <n v="4.7619047620000003"/>
    <n v="34.671999999999997"/>
    <x v="8"/>
  </r>
  <r>
    <s v="857-67-9057"/>
    <s v="B"/>
    <x v="2"/>
    <x v="1"/>
    <s v="Male"/>
    <x v="1"/>
    <n v="22.95"/>
    <n v="10"/>
    <n v="11.475"/>
    <n v="240.97499999999999"/>
    <x v="10"/>
    <d v="1899-12-30T19:20:00"/>
    <x v="0"/>
    <n v="229.5"/>
    <n v="4.7619047620000003"/>
    <n v="11.475"/>
    <x v="13"/>
  </r>
  <r>
    <s v="236-27-1144"/>
    <s v="C"/>
    <x v="1"/>
    <x v="1"/>
    <s v="Female"/>
    <x v="4"/>
    <n v="16.309999999999999"/>
    <n v="9"/>
    <n v="7.3395000000000001"/>
    <n v="154.12950000000001"/>
    <x v="58"/>
    <d v="1899-12-30T10:31:00"/>
    <x v="0"/>
    <n v="146.79"/>
    <n v="4.7619047620000003"/>
    <n v="7.3395000000000001"/>
    <x v="3"/>
  </r>
  <r>
    <s v="892-05-6689"/>
    <s v="A"/>
    <x v="0"/>
    <x v="1"/>
    <s v="Female"/>
    <x v="2"/>
    <n v="28.32"/>
    <n v="5"/>
    <n v="7.08"/>
    <n v="148.68"/>
    <x v="16"/>
    <d v="1899-12-30T13:28:00"/>
    <x v="0"/>
    <n v="141.6"/>
    <n v="4.7619047620000003"/>
    <n v="7.08"/>
    <x v="56"/>
  </r>
  <r>
    <s v="583-41-4548"/>
    <s v="C"/>
    <x v="1"/>
    <x v="1"/>
    <s v="Male"/>
    <x v="2"/>
    <n v="16.670000000000002"/>
    <n v="7"/>
    <n v="5.8345000000000002"/>
    <n v="122.5245"/>
    <x v="13"/>
    <d v="1899-12-30T11:36:00"/>
    <x v="0"/>
    <n v="116.69"/>
    <n v="4.7619047620000003"/>
    <n v="5.8345000000000002"/>
    <x v="2"/>
  </r>
  <r>
    <s v="339-12-4827"/>
    <s v="B"/>
    <x v="2"/>
    <x v="0"/>
    <s v="Female"/>
    <x v="5"/>
    <n v="73.959999999999994"/>
    <n v="1"/>
    <n v="3.698"/>
    <n v="77.658000000000001"/>
    <x v="0"/>
    <d v="1899-12-30T11:32:00"/>
    <x v="2"/>
    <n v="73.959999999999994"/>
    <n v="4.7619047620000003"/>
    <n v="3.698"/>
    <x v="59"/>
  </r>
  <r>
    <s v="643-38-7867"/>
    <s v="A"/>
    <x v="0"/>
    <x v="1"/>
    <s v="Male"/>
    <x v="2"/>
    <n v="97.94"/>
    <n v="1"/>
    <n v="4.8970000000000002"/>
    <n v="102.837"/>
    <x v="37"/>
    <d v="1899-12-30T11:44:00"/>
    <x v="0"/>
    <n v="97.94"/>
    <n v="4.7619047620000003"/>
    <n v="4.8970000000000002"/>
    <x v="16"/>
  </r>
  <r>
    <s v="308-81-0538"/>
    <s v="A"/>
    <x v="0"/>
    <x v="1"/>
    <s v="Female"/>
    <x v="5"/>
    <n v="73.05"/>
    <n v="4"/>
    <n v="14.61"/>
    <n v="306.81"/>
    <x v="6"/>
    <d v="1899-12-30T17:16:00"/>
    <x v="2"/>
    <n v="292.2"/>
    <n v="4.7619047620000003"/>
    <n v="14.61"/>
    <x v="49"/>
  </r>
  <r>
    <s v="358-88-9262"/>
    <s v="C"/>
    <x v="1"/>
    <x v="0"/>
    <s v="Female"/>
    <x v="4"/>
    <n v="87.48"/>
    <n v="6"/>
    <n v="26.244"/>
    <n v="551.12400000000002"/>
    <x v="60"/>
    <d v="1899-12-30T18:43:00"/>
    <x v="0"/>
    <n v="524.88"/>
    <n v="4.7619047620000003"/>
    <n v="26.244"/>
    <x v="20"/>
  </r>
  <r>
    <s v="460-35-4390"/>
    <s v="A"/>
    <x v="0"/>
    <x v="1"/>
    <s v="Male"/>
    <x v="2"/>
    <n v="30.68"/>
    <n v="3"/>
    <n v="4.6020000000000003"/>
    <n v="96.641999999999996"/>
    <x v="49"/>
    <d v="1899-12-30T11:00:00"/>
    <x v="0"/>
    <n v="92.04"/>
    <n v="4.7619047620000003"/>
    <n v="4.6020000000000003"/>
    <x v="0"/>
  </r>
  <r>
    <s v="343-87-0864"/>
    <s v="C"/>
    <x v="1"/>
    <x v="0"/>
    <s v="Male"/>
    <x v="0"/>
    <n v="75.88"/>
    <n v="1"/>
    <n v="3.794"/>
    <n v="79.674000000000007"/>
    <x v="75"/>
    <d v="1899-12-30T10:30:00"/>
    <x v="2"/>
    <n v="75.88"/>
    <n v="4.7619047620000003"/>
    <n v="3.794"/>
    <x v="12"/>
  </r>
  <r>
    <s v="173-50-1108"/>
    <s v="B"/>
    <x v="2"/>
    <x v="0"/>
    <s v="Female"/>
    <x v="3"/>
    <n v="20.18"/>
    <n v="4"/>
    <n v="4.0359999999999996"/>
    <n v="84.756"/>
    <x v="77"/>
    <d v="1899-12-30T12:14:00"/>
    <x v="2"/>
    <n v="80.72"/>
    <n v="4.7619047620000003"/>
    <n v="4.0359999999999996"/>
    <x v="59"/>
  </r>
  <r>
    <s v="243-47-2663"/>
    <s v="C"/>
    <x v="1"/>
    <x v="0"/>
    <s v="Male"/>
    <x v="1"/>
    <n v="18.77"/>
    <n v="6"/>
    <n v="5.6310000000000002"/>
    <n v="118.251"/>
    <x v="26"/>
    <d v="1899-12-30T16:43:00"/>
    <x v="2"/>
    <n v="112.62"/>
    <n v="4.7619047620000003"/>
    <n v="5.6310000000000002"/>
    <x v="46"/>
  </r>
  <r>
    <s v="841-18-8232"/>
    <s v="B"/>
    <x v="2"/>
    <x v="1"/>
    <s v="Female"/>
    <x v="4"/>
    <n v="71.2"/>
    <n v="1"/>
    <n v="3.56"/>
    <n v="74.760000000000005"/>
    <x v="0"/>
    <d v="1899-12-30T20:40:00"/>
    <x v="2"/>
    <n v="71.2"/>
    <n v="4.7619047620000003"/>
    <n v="3.56"/>
    <x v="51"/>
  </r>
  <r>
    <s v="701-23-5550"/>
    <s v="B"/>
    <x v="2"/>
    <x v="0"/>
    <s v="Male"/>
    <x v="2"/>
    <n v="38.81"/>
    <n v="4"/>
    <n v="7.7619999999999996"/>
    <n v="163.00200000000001"/>
    <x v="35"/>
    <d v="1899-12-30T13:40:00"/>
    <x v="0"/>
    <n v="155.24"/>
    <n v="4.7619047620000003"/>
    <n v="7.7619999999999996"/>
    <x v="49"/>
  </r>
  <r>
    <s v="647-50-1224"/>
    <s v="A"/>
    <x v="0"/>
    <x v="1"/>
    <s v="Female"/>
    <x v="5"/>
    <n v="29.42"/>
    <n v="10"/>
    <n v="14.71"/>
    <n v="308.91000000000003"/>
    <x v="52"/>
    <d v="1899-12-30T16:23:00"/>
    <x v="0"/>
    <n v="294.2"/>
    <n v="4.7619047620000003"/>
    <n v="14.71"/>
    <x v="60"/>
  </r>
  <r>
    <s v="541-48-8554"/>
    <s v="A"/>
    <x v="0"/>
    <x v="1"/>
    <s v="Male"/>
    <x v="3"/>
    <n v="60.95"/>
    <n v="9"/>
    <n v="27.427499999999998"/>
    <n v="575.97749999999996"/>
    <x v="27"/>
    <d v="1899-12-30T12:08:00"/>
    <x v="2"/>
    <n v="548.54999999999995"/>
    <n v="4.7619047620000003"/>
    <n v="27.427499999999998"/>
    <x v="22"/>
  </r>
  <r>
    <s v="539-21-7227"/>
    <s v="B"/>
    <x v="2"/>
    <x v="1"/>
    <s v="Female"/>
    <x v="3"/>
    <n v="51.54"/>
    <n v="5"/>
    <n v="12.885"/>
    <n v="270.58499999999998"/>
    <x v="53"/>
    <d v="1899-12-30T17:45:00"/>
    <x v="1"/>
    <n v="257.7"/>
    <n v="4.7619047620000003"/>
    <n v="12.885"/>
    <x v="50"/>
  </r>
  <r>
    <s v="213-32-1216"/>
    <s v="A"/>
    <x v="0"/>
    <x v="1"/>
    <s v="Female"/>
    <x v="1"/>
    <n v="66.06"/>
    <n v="6"/>
    <n v="19.818000000000001"/>
    <n v="416.178"/>
    <x v="54"/>
    <d v="1899-12-30T10:28:00"/>
    <x v="1"/>
    <n v="396.36"/>
    <n v="4.7619047620000003"/>
    <n v="19.818000000000001"/>
    <x v="48"/>
  </r>
  <r>
    <s v="747-58-7183"/>
    <s v="B"/>
    <x v="2"/>
    <x v="1"/>
    <s v="Male"/>
    <x v="5"/>
    <n v="57.27"/>
    <n v="3"/>
    <n v="8.5905000000000005"/>
    <n v="180.40049999999999"/>
    <x v="57"/>
    <d v="1899-12-30T20:31:00"/>
    <x v="0"/>
    <n v="171.81"/>
    <n v="4.7619047620000003"/>
    <n v="8.5905000000000005"/>
    <x v="35"/>
  </r>
  <r>
    <s v="582-52-8065"/>
    <s v="B"/>
    <x v="2"/>
    <x v="1"/>
    <s v="Female"/>
    <x v="5"/>
    <n v="54.31"/>
    <n v="9"/>
    <n v="24.439499999999999"/>
    <n v="513.22950000000003"/>
    <x v="70"/>
    <d v="1899-12-30T10:49:00"/>
    <x v="1"/>
    <n v="488.79"/>
    <n v="4.7619047620000003"/>
    <n v="24.439499999999999"/>
    <x v="60"/>
  </r>
  <r>
    <s v="210-57-1719"/>
    <s v="B"/>
    <x v="2"/>
    <x v="1"/>
    <s v="Female"/>
    <x v="0"/>
    <n v="58.24"/>
    <n v="9"/>
    <n v="26.207999999999998"/>
    <n v="550.36800000000005"/>
    <x v="63"/>
    <d v="1899-12-30T12:34:00"/>
    <x v="1"/>
    <n v="524.16"/>
    <n v="4.7619047620000003"/>
    <n v="26.207999999999998"/>
    <x v="58"/>
  </r>
  <r>
    <s v="399-69-4630"/>
    <s v="C"/>
    <x v="1"/>
    <x v="1"/>
    <s v="Male"/>
    <x v="1"/>
    <n v="22.21"/>
    <n v="6"/>
    <n v="6.6630000000000003"/>
    <n v="139.923"/>
    <x v="37"/>
    <d v="1899-12-30T10:23:00"/>
    <x v="2"/>
    <n v="133.26"/>
    <n v="4.7619047620000003"/>
    <n v="6.6630000000000003"/>
    <x v="17"/>
  </r>
  <r>
    <s v="134-75-2619"/>
    <s v="A"/>
    <x v="0"/>
    <x v="0"/>
    <s v="Male"/>
    <x v="1"/>
    <n v="19.32"/>
    <n v="7"/>
    <n v="6.7619999999999996"/>
    <n v="142.00200000000001"/>
    <x v="5"/>
    <d v="1899-12-30T18:51:00"/>
    <x v="1"/>
    <n v="135.24"/>
    <n v="4.7619047620000003"/>
    <n v="6.7619999999999996"/>
    <x v="16"/>
  </r>
  <r>
    <s v="356-44-8813"/>
    <s v="B"/>
    <x v="2"/>
    <x v="1"/>
    <s v="Male"/>
    <x v="2"/>
    <n v="37.479999999999997"/>
    <n v="3"/>
    <n v="5.6219999999999999"/>
    <n v="118.062"/>
    <x v="40"/>
    <d v="1899-12-30T13:45:00"/>
    <x v="2"/>
    <n v="112.44"/>
    <n v="4.7619047620000003"/>
    <n v="5.6219999999999999"/>
    <x v="25"/>
  </r>
  <r>
    <s v="198-66-9832"/>
    <s v="B"/>
    <x v="2"/>
    <x v="0"/>
    <s v="Female"/>
    <x v="5"/>
    <n v="72.040000000000006"/>
    <n v="2"/>
    <n v="7.2039999999999997"/>
    <n v="151.28399999999999"/>
    <x v="87"/>
    <d v="1899-12-30T19:38:00"/>
    <x v="1"/>
    <n v="144.08000000000001"/>
    <n v="4.7619047620000003"/>
    <n v="7.2039999999999997"/>
    <x v="33"/>
  </r>
  <r>
    <s v="283-26-5248"/>
    <s v="C"/>
    <x v="1"/>
    <x v="0"/>
    <s v="Female"/>
    <x v="4"/>
    <n v="98.52"/>
    <n v="10"/>
    <n v="49.26"/>
    <n v="1034.46"/>
    <x v="74"/>
    <d v="1899-12-30T20:23:00"/>
    <x v="0"/>
    <n v="985.2"/>
    <n v="4.7619047620000003"/>
    <n v="49.26"/>
    <x v="10"/>
  </r>
  <r>
    <s v="712-39-0363"/>
    <s v="A"/>
    <x v="0"/>
    <x v="0"/>
    <s v="Male"/>
    <x v="4"/>
    <n v="41.66"/>
    <n v="6"/>
    <n v="12.497999999999999"/>
    <n v="262.45800000000003"/>
    <x v="56"/>
    <d v="1899-12-30T15:24:00"/>
    <x v="0"/>
    <n v="249.96"/>
    <n v="4.7619047620000003"/>
    <n v="12.497999999999999"/>
    <x v="32"/>
  </r>
  <r>
    <s v="218-59-9410"/>
    <s v="A"/>
    <x v="0"/>
    <x v="0"/>
    <s v="Female"/>
    <x v="2"/>
    <n v="72.42"/>
    <n v="3"/>
    <n v="10.863"/>
    <n v="228.12299999999999"/>
    <x v="14"/>
    <d v="1899-12-30T16:54:00"/>
    <x v="0"/>
    <n v="217.26"/>
    <n v="4.7619047620000003"/>
    <n v="10.863"/>
    <x v="13"/>
  </r>
  <r>
    <s v="174-75-0888"/>
    <s v="B"/>
    <x v="2"/>
    <x v="1"/>
    <s v="Male"/>
    <x v="1"/>
    <n v="21.58"/>
    <n v="9"/>
    <n v="9.7110000000000003"/>
    <n v="203.93100000000001"/>
    <x v="86"/>
    <d v="1899-12-30T12:32:00"/>
    <x v="1"/>
    <n v="194.22"/>
    <n v="4.7619047620000003"/>
    <n v="9.7110000000000003"/>
    <x v="48"/>
  </r>
  <r>
    <s v="866-99-7614"/>
    <s v="C"/>
    <x v="1"/>
    <x v="1"/>
    <s v="Male"/>
    <x v="4"/>
    <n v="89.2"/>
    <n v="10"/>
    <n v="44.6"/>
    <n v="936.6"/>
    <x v="48"/>
    <d v="1899-12-30T15:42:00"/>
    <x v="2"/>
    <n v="892"/>
    <n v="4.7619047620000003"/>
    <n v="44.6"/>
    <x v="18"/>
  </r>
  <r>
    <s v="134-54-4720"/>
    <s v="B"/>
    <x v="2"/>
    <x v="1"/>
    <s v="Female"/>
    <x v="1"/>
    <n v="42.42"/>
    <n v="8"/>
    <n v="16.968"/>
    <n v="356.32799999999997"/>
    <x v="74"/>
    <d v="1899-12-30T13:58:00"/>
    <x v="0"/>
    <n v="339.36"/>
    <n v="4.7619047620000003"/>
    <n v="16.968"/>
    <x v="14"/>
  </r>
  <r>
    <s v="760-90-2357"/>
    <s v="A"/>
    <x v="0"/>
    <x v="0"/>
    <s v="Male"/>
    <x v="1"/>
    <n v="74.510000000000005"/>
    <n v="6"/>
    <n v="22.353000000000002"/>
    <n v="469.41300000000001"/>
    <x v="80"/>
    <d v="1899-12-30T15:08:00"/>
    <x v="0"/>
    <n v="447.06"/>
    <n v="4.7619047620000003"/>
    <n v="22.353000000000002"/>
    <x v="59"/>
  </r>
  <r>
    <s v="514-37-2845"/>
    <s v="B"/>
    <x v="2"/>
    <x v="1"/>
    <s v="Male"/>
    <x v="5"/>
    <n v="99.25"/>
    <n v="2"/>
    <n v="9.9250000000000007"/>
    <n v="208.42500000000001"/>
    <x v="80"/>
    <d v="1899-12-30T13:02:00"/>
    <x v="1"/>
    <n v="198.5"/>
    <n v="4.7619047620000003"/>
    <n v="9.9250000000000007"/>
    <x v="54"/>
  </r>
  <r>
    <s v="698-98-5964"/>
    <s v="A"/>
    <x v="0"/>
    <x v="1"/>
    <s v="Female"/>
    <x v="4"/>
    <n v="81.209999999999994"/>
    <n v="10"/>
    <n v="40.604999999999997"/>
    <n v="852.70500000000004"/>
    <x v="29"/>
    <d v="1899-12-30T13:01:00"/>
    <x v="2"/>
    <n v="812.1"/>
    <n v="4.7619047620000003"/>
    <n v="40.604999999999997"/>
    <x v="31"/>
  </r>
  <r>
    <s v="718-57-9773"/>
    <s v="C"/>
    <x v="1"/>
    <x v="1"/>
    <s v="Female"/>
    <x v="3"/>
    <n v="49.33"/>
    <n v="10"/>
    <n v="24.664999999999999"/>
    <n v="517.96500000000003"/>
    <x v="36"/>
    <d v="1899-12-30T16:40:00"/>
    <x v="2"/>
    <n v="493.3"/>
    <n v="4.7619047620000003"/>
    <n v="24.664999999999999"/>
    <x v="45"/>
  </r>
  <r>
    <s v="651-88-7328"/>
    <s v="A"/>
    <x v="0"/>
    <x v="1"/>
    <s v="Female"/>
    <x v="5"/>
    <n v="65.739999999999995"/>
    <n v="9"/>
    <n v="29.582999999999998"/>
    <n v="621.24300000000005"/>
    <x v="17"/>
    <d v="1899-12-30T13:55:00"/>
    <x v="1"/>
    <n v="591.66"/>
    <n v="4.7619047620000003"/>
    <n v="29.582999999999998"/>
    <x v="25"/>
  </r>
  <r>
    <s v="241-11-2261"/>
    <s v="B"/>
    <x v="2"/>
    <x v="1"/>
    <s v="Female"/>
    <x v="5"/>
    <n v="79.86"/>
    <n v="7"/>
    <n v="27.951000000000001"/>
    <n v="586.971"/>
    <x v="8"/>
    <d v="1899-12-30T10:33:00"/>
    <x v="2"/>
    <n v="559.02"/>
    <n v="4.7619047620000003"/>
    <n v="27.951000000000001"/>
    <x v="46"/>
  </r>
  <r>
    <s v="408-26-9866"/>
    <s v="C"/>
    <x v="1"/>
    <x v="1"/>
    <s v="Female"/>
    <x v="3"/>
    <n v="73.98"/>
    <n v="7"/>
    <n v="25.893000000000001"/>
    <n v="543.75300000000004"/>
    <x v="22"/>
    <d v="1899-12-30T16:42:00"/>
    <x v="0"/>
    <n v="517.86"/>
    <n v="4.7619047620000003"/>
    <n v="25.893000000000001"/>
    <x v="5"/>
  </r>
  <r>
    <s v="834-83-1826"/>
    <s v="B"/>
    <x v="2"/>
    <x v="0"/>
    <s v="Female"/>
    <x v="2"/>
    <n v="82.04"/>
    <n v="5"/>
    <n v="20.51"/>
    <n v="430.71"/>
    <x v="6"/>
    <d v="1899-12-30T17:16:00"/>
    <x v="2"/>
    <n v="410.2"/>
    <n v="4.7619047620000003"/>
    <n v="20.51"/>
    <x v="29"/>
  </r>
  <r>
    <s v="343-61-3544"/>
    <s v="B"/>
    <x v="2"/>
    <x v="0"/>
    <s v="Male"/>
    <x v="3"/>
    <n v="26.67"/>
    <n v="10"/>
    <n v="13.335000000000001"/>
    <n v="280.03500000000003"/>
    <x v="71"/>
    <d v="1899-12-30T11:48:00"/>
    <x v="1"/>
    <n v="266.7"/>
    <n v="4.7619047620000003"/>
    <n v="13.335000000000001"/>
    <x v="17"/>
  </r>
  <r>
    <s v="239-48-4278"/>
    <s v="A"/>
    <x v="0"/>
    <x v="0"/>
    <s v="Male"/>
    <x v="4"/>
    <n v="10.130000000000001"/>
    <n v="7"/>
    <n v="3.5455000000000001"/>
    <n v="74.455500000000001"/>
    <x v="24"/>
    <d v="1899-12-30T19:35:00"/>
    <x v="0"/>
    <n v="70.91"/>
    <n v="4.7619047620000003"/>
    <n v="3.5455000000000001"/>
    <x v="47"/>
  </r>
  <r>
    <s v="355-34-6244"/>
    <s v="B"/>
    <x v="2"/>
    <x v="1"/>
    <s v="Male"/>
    <x v="4"/>
    <n v="72.39"/>
    <n v="2"/>
    <n v="7.2389999999999999"/>
    <n v="152.01900000000001"/>
    <x v="50"/>
    <d v="1899-12-30T19:55:00"/>
    <x v="2"/>
    <n v="144.78"/>
    <n v="4.7619047620000003"/>
    <n v="7.2389999999999999"/>
    <x v="34"/>
  </r>
  <r>
    <s v="550-84-8664"/>
    <s v="A"/>
    <x v="0"/>
    <x v="1"/>
    <s v="Male"/>
    <x v="3"/>
    <n v="85.91"/>
    <n v="5"/>
    <n v="21.477499999999999"/>
    <n v="451.02749999999997"/>
    <x v="23"/>
    <d v="1899-12-30T14:33:00"/>
    <x v="2"/>
    <n v="429.55"/>
    <n v="4.7619047620000003"/>
    <n v="21.477499999999999"/>
    <x v="17"/>
  </r>
  <r>
    <s v="339-96-8318"/>
    <s v="B"/>
    <x v="2"/>
    <x v="0"/>
    <s v="Male"/>
    <x v="5"/>
    <n v="81.31"/>
    <n v="7"/>
    <n v="28.458500000000001"/>
    <n v="597.62850000000003"/>
    <x v="59"/>
    <d v="1899-12-30T19:49:00"/>
    <x v="0"/>
    <n v="569.16999999999996"/>
    <n v="4.7619047620000003"/>
    <n v="28.458500000000001"/>
    <x v="31"/>
  </r>
  <r>
    <s v="458-61-0011"/>
    <s v="B"/>
    <x v="2"/>
    <x v="1"/>
    <s v="Male"/>
    <x v="4"/>
    <n v="60.3"/>
    <n v="4"/>
    <n v="12.06"/>
    <n v="253.26"/>
    <x v="9"/>
    <d v="1899-12-30T18:43:00"/>
    <x v="1"/>
    <n v="241.2"/>
    <n v="4.7619047620000003"/>
    <n v="12.06"/>
    <x v="6"/>
  </r>
  <r>
    <s v="592-34-6155"/>
    <s v="C"/>
    <x v="1"/>
    <x v="1"/>
    <s v="Male"/>
    <x v="4"/>
    <n v="31.77"/>
    <n v="4"/>
    <n v="6.3540000000000001"/>
    <n v="133.434"/>
    <x v="78"/>
    <d v="1899-12-30T14:43:00"/>
    <x v="0"/>
    <n v="127.08"/>
    <n v="4.7619047620000003"/>
    <n v="6.3540000000000001"/>
    <x v="56"/>
  </r>
  <r>
    <s v="797-88-0493"/>
    <s v="A"/>
    <x v="0"/>
    <x v="1"/>
    <s v="Female"/>
    <x v="0"/>
    <n v="64.27"/>
    <n v="4"/>
    <n v="12.853999999999999"/>
    <n v="269.93400000000003"/>
    <x v="58"/>
    <d v="1899-12-30T13:54:00"/>
    <x v="1"/>
    <n v="257.08"/>
    <n v="4.7619047620000003"/>
    <n v="12.853999999999999"/>
    <x v="25"/>
  </r>
  <r>
    <s v="207-73-1363"/>
    <s v="B"/>
    <x v="2"/>
    <x v="1"/>
    <s v="Male"/>
    <x v="0"/>
    <n v="69.510000000000005"/>
    <n v="2"/>
    <n v="6.9509999999999996"/>
    <n v="145.971"/>
    <x v="59"/>
    <d v="1899-12-30T12:15:00"/>
    <x v="0"/>
    <n v="139.02000000000001"/>
    <n v="4.7619047620000003"/>
    <n v="6.9509999999999996"/>
    <x v="34"/>
  </r>
  <r>
    <s v="390-31-6381"/>
    <s v="C"/>
    <x v="1"/>
    <x v="1"/>
    <s v="Male"/>
    <x v="4"/>
    <n v="27.22"/>
    <n v="3"/>
    <n v="4.0830000000000002"/>
    <n v="85.742999999999995"/>
    <x v="27"/>
    <d v="1899-12-30T12:37:00"/>
    <x v="1"/>
    <n v="81.66"/>
    <n v="4.7619047620000003"/>
    <n v="4.0830000000000002"/>
    <x v="48"/>
  </r>
  <r>
    <s v="443-82-0585"/>
    <s v="A"/>
    <x v="0"/>
    <x v="0"/>
    <s v="Female"/>
    <x v="0"/>
    <n v="77.680000000000007"/>
    <n v="4"/>
    <n v="15.536"/>
    <n v="326.25599999999997"/>
    <x v="60"/>
    <d v="1899-12-30T19:54:00"/>
    <x v="1"/>
    <n v="310.72000000000003"/>
    <n v="4.7619047620000003"/>
    <n v="15.536"/>
    <x v="3"/>
  </r>
  <r>
    <s v="339-18-7061"/>
    <s v="C"/>
    <x v="1"/>
    <x v="0"/>
    <s v="Female"/>
    <x v="5"/>
    <n v="92.98"/>
    <n v="2"/>
    <n v="9.298"/>
    <n v="195.25800000000001"/>
    <x v="77"/>
    <d v="1899-12-30T15:06:00"/>
    <x v="2"/>
    <n v="185.96"/>
    <n v="4.7619047620000003"/>
    <n v="9.298"/>
    <x v="7"/>
  </r>
  <r>
    <s v="359-90-3665"/>
    <s v="B"/>
    <x v="2"/>
    <x v="0"/>
    <s v="Female"/>
    <x v="5"/>
    <n v="18.079999999999998"/>
    <n v="4"/>
    <n v="3.6160000000000001"/>
    <n v="75.936000000000007"/>
    <x v="78"/>
    <d v="1899-12-30T18:03:00"/>
    <x v="2"/>
    <n v="72.319999999999993"/>
    <n v="4.7619047620000003"/>
    <n v="3.6160000000000001"/>
    <x v="33"/>
  </r>
  <r>
    <s v="375-72-3056"/>
    <s v="B"/>
    <x v="2"/>
    <x v="1"/>
    <s v="Male"/>
    <x v="3"/>
    <n v="63.06"/>
    <n v="3"/>
    <n v="9.4589999999999996"/>
    <n v="198.63900000000001"/>
    <x v="64"/>
    <d v="1899-12-30T15:58:00"/>
    <x v="0"/>
    <n v="189.18"/>
    <n v="4.7619047620000003"/>
    <n v="9.4589999999999996"/>
    <x v="27"/>
  </r>
  <r>
    <s v="127-47-6963"/>
    <s v="A"/>
    <x v="0"/>
    <x v="1"/>
    <s v="Male"/>
    <x v="0"/>
    <n v="51.71"/>
    <n v="4"/>
    <n v="10.342000000000001"/>
    <n v="217.18199999999999"/>
    <x v="11"/>
    <d v="1899-12-30T13:53:00"/>
    <x v="2"/>
    <n v="206.84"/>
    <n v="4.7619047620000003"/>
    <n v="10.342000000000001"/>
    <x v="57"/>
  </r>
  <r>
    <s v="278-86-2735"/>
    <s v="A"/>
    <x v="0"/>
    <x v="1"/>
    <s v="Female"/>
    <x v="4"/>
    <n v="52.34"/>
    <n v="3"/>
    <n v="7.851"/>
    <n v="164.87100000000001"/>
    <x v="39"/>
    <d v="1899-12-30T14:03:00"/>
    <x v="1"/>
    <n v="157.02000000000001"/>
    <n v="4.7619047620000003"/>
    <n v="7.851"/>
    <x v="51"/>
  </r>
  <r>
    <s v="695-28-6250"/>
    <s v="A"/>
    <x v="0"/>
    <x v="1"/>
    <s v="Female"/>
    <x v="3"/>
    <n v="43.06"/>
    <n v="5"/>
    <n v="10.765000000000001"/>
    <n v="226.065"/>
    <x v="87"/>
    <d v="1899-12-30T16:38:00"/>
    <x v="0"/>
    <n v="215.3"/>
    <n v="4.7619047620000003"/>
    <n v="10.765000000000001"/>
    <x v="25"/>
  </r>
  <r>
    <s v="379-17-6588"/>
    <s v="C"/>
    <x v="1"/>
    <x v="1"/>
    <s v="Male"/>
    <x v="5"/>
    <n v="59.61"/>
    <n v="10"/>
    <n v="29.805"/>
    <n v="625.90499999999997"/>
    <x v="86"/>
    <d v="1899-12-30T11:07:00"/>
    <x v="1"/>
    <n v="596.1"/>
    <n v="4.7619047620000003"/>
    <n v="29.805"/>
    <x v="4"/>
  </r>
  <r>
    <s v="227-50-3718"/>
    <s v="A"/>
    <x v="0"/>
    <x v="1"/>
    <s v="Male"/>
    <x v="0"/>
    <n v="14.62"/>
    <n v="5"/>
    <n v="3.6549999999999998"/>
    <n v="76.754999999999995"/>
    <x v="31"/>
    <d v="1899-12-30T12:23:00"/>
    <x v="1"/>
    <n v="73.099999999999994"/>
    <n v="4.7619047620000003"/>
    <n v="3.6549999999999998"/>
    <x v="18"/>
  </r>
  <r>
    <s v="302-15-2162"/>
    <s v="C"/>
    <x v="1"/>
    <x v="0"/>
    <s v="Male"/>
    <x v="0"/>
    <n v="46.53"/>
    <n v="6"/>
    <n v="13.959"/>
    <n v="293.13900000000001"/>
    <x v="2"/>
    <d v="1899-12-30T10:54:00"/>
    <x v="2"/>
    <n v="279.18"/>
    <n v="4.7619047620000003"/>
    <n v="13.959"/>
    <x v="42"/>
  </r>
  <r>
    <s v="788-07-8452"/>
    <s v="C"/>
    <x v="1"/>
    <x v="0"/>
    <s v="Female"/>
    <x v="2"/>
    <n v="24.24"/>
    <n v="7"/>
    <n v="8.484"/>
    <n v="178.16399999999999"/>
    <x v="3"/>
    <d v="1899-12-30T17:38:00"/>
    <x v="0"/>
    <n v="169.68"/>
    <n v="4.7619047620000003"/>
    <n v="8.484"/>
    <x v="45"/>
  </r>
  <r>
    <s v="560-49-6611"/>
    <s v="A"/>
    <x v="0"/>
    <x v="0"/>
    <s v="Female"/>
    <x v="3"/>
    <n v="45.58"/>
    <n v="1"/>
    <n v="2.2789999999999999"/>
    <n v="47.859000000000002"/>
    <x v="13"/>
    <d v="1899-12-30T14:13:00"/>
    <x v="1"/>
    <n v="45.58"/>
    <n v="4.7619047620000003"/>
    <n v="2.2789999999999999"/>
    <x v="57"/>
  </r>
  <r>
    <s v="880-35-0356"/>
    <s v="A"/>
    <x v="0"/>
    <x v="0"/>
    <s v="Female"/>
    <x v="3"/>
    <n v="75.2"/>
    <n v="3"/>
    <n v="11.28"/>
    <n v="236.88"/>
    <x v="63"/>
    <d v="1899-12-30T11:51:00"/>
    <x v="0"/>
    <n v="225.6"/>
    <n v="4.7619047620000003"/>
    <n v="11.28"/>
    <x v="19"/>
  </r>
  <r>
    <s v="585-11-6748"/>
    <s v="B"/>
    <x v="2"/>
    <x v="0"/>
    <s v="Male"/>
    <x v="3"/>
    <n v="96.8"/>
    <n v="3"/>
    <n v="14.52"/>
    <n v="304.92"/>
    <x v="20"/>
    <d v="1899-12-30T13:05:00"/>
    <x v="1"/>
    <n v="290.39999999999998"/>
    <n v="4.7619047620000003"/>
    <n v="14.52"/>
    <x v="4"/>
  </r>
  <r>
    <s v="470-31-3286"/>
    <s v="B"/>
    <x v="2"/>
    <x v="1"/>
    <s v="Male"/>
    <x v="0"/>
    <n v="14.82"/>
    <n v="3"/>
    <n v="2.2229999999999999"/>
    <n v="46.683"/>
    <x v="59"/>
    <d v="1899-12-30T11:30:00"/>
    <x v="2"/>
    <n v="44.46"/>
    <n v="4.7619047620000003"/>
    <n v="2.2229999999999999"/>
    <x v="44"/>
  </r>
  <r>
    <s v="152-68-2907"/>
    <s v="A"/>
    <x v="0"/>
    <x v="1"/>
    <s v="Male"/>
    <x v="4"/>
    <n v="52.2"/>
    <n v="3"/>
    <n v="7.83"/>
    <n v="164.43"/>
    <x v="42"/>
    <d v="1899-12-30T13:30:00"/>
    <x v="2"/>
    <n v="156.6"/>
    <n v="4.7619047620000003"/>
    <n v="7.83"/>
    <x v="33"/>
  </r>
  <r>
    <s v="123-35-4896"/>
    <s v="C"/>
    <x v="1"/>
    <x v="1"/>
    <s v="Female"/>
    <x v="3"/>
    <n v="46.66"/>
    <n v="9"/>
    <n v="20.997"/>
    <n v="440.93700000000001"/>
    <x v="21"/>
    <d v="1899-12-30T19:11:00"/>
    <x v="0"/>
    <n v="419.94"/>
    <n v="4.7619047620000003"/>
    <n v="20.997"/>
    <x v="4"/>
  </r>
  <r>
    <s v="258-69-7810"/>
    <s v="C"/>
    <x v="1"/>
    <x v="1"/>
    <s v="Female"/>
    <x v="5"/>
    <n v="36.85"/>
    <n v="5"/>
    <n v="9.2125000000000004"/>
    <n v="193.46250000000001"/>
    <x v="53"/>
    <d v="1899-12-30T18:53:00"/>
    <x v="1"/>
    <n v="184.25"/>
    <n v="4.7619047620000003"/>
    <n v="9.2125000000000004"/>
    <x v="51"/>
  </r>
  <r>
    <s v="334-64-2006"/>
    <s v="A"/>
    <x v="0"/>
    <x v="0"/>
    <s v="Female"/>
    <x v="2"/>
    <n v="70.319999999999993"/>
    <n v="2"/>
    <n v="7.032"/>
    <n v="147.672"/>
    <x v="62"/>
    <d v="1899-12-30T14:22:00"/>
    <x v="0"/>
    <n v="140.63999999999999"/>
    <n v="4.7619047620000003"/>
    <n v="7.032"/>
    <x v="1"/>
  </r>
  <r>
    <s v="219-61-4139"/>
    <s v="C"/>
    <x v="1"/>
    <x v="1"/>
    <s v="Male"/>
    <x v="1"/>
    <n v="83.08"/>
    <n v="1"/>
    <n v="4.1539999999999999"/>
    <n v="87.233999999999995"/>
    <x v="54"/>
    <d v="1899-12-30T17:16:00"/>
    <x v="0"/>
    <n v="83.08"/>
    <n v="4.7619047620000003"/>
    <n v="4.1539999999999999"/>
    <x v="41"/>
  </r>
  <r>
    <s v="881-41-7302"/>
    <s v="C"/>
    <x v="1"/>
    <x v="1"/>
    <s v="Female"/>
    <x v="5"/>
    <n v="64.989999999999995"/>
    <n v="1"/>
    <n v="3.2494999999999998"/>
    <n v="68.239500000000007"/>
    <x v="53"/>
    <d v="1899-12-30T10:06:00"/>
    <x v="2"/>
    <n v="64.989999999999995"/>
    <n v="4.7619047620000003"/>
    <n v="3.2494999999999998"/>
    <x v="10"/>
  </r>
  <r>
    <s v="373-09-4567"/>
    <s v="C"/>
    <x v="1"/>
    <x v="1"/>
    <s v="Male"/>
    <x v="4"/>
    <n v="77.56"/>
    <n v="10"/>
    <n v="38.78"/>
    <n v="814.38"/>
    <x v="86"/>
    <d v="1899-12-30T20:35:00"/>
    <x v="0"/>
    <n v="775.6"/>
    <n v="4.7619047620000003"/>
    <n v="38.78"/>
    <x v="16"/>
  </r>
  <r>
    <s v="642-30-6693"/>
    <s v="B"/>
    <x v="2"/>
    <x v="1"/>
    <s v="Female"/>
    <x v="3"/>
    <n v="54.51"/>
    <n v="6"/>
    <n v="16.353000000000002"/>
    <n v="343.41300000000001"/>
    <x v="85"/>
    <d v="1899-12-30T13:54:00"/>
    <x v="0"/>
    <n v="327.06"/>
    <n v="4.7619047620000003"/>
    <n v="16.353000000000002"/>
    <x v="52"/>
  </r>
  <r>
    <s v="484-22-8230"/>
    <s v="C"/>
    <x v="1"/>
    <x v="0"/>
    <s v="Female"/>
    <x v="5"/>
    <n v="51.89"/>
    <n v="7"/>
    <n v="18.1615"/>
    <n v="381.39150000000001"/>
    <x v="66"/>
    <d v="1899-12-30T20:08:00"/>
    <x v="1"/>
    <n v="363.23"/>
    <n v="4.7619047620000003"/>
    <n v="18.1615"/>
    <x v="10"/>
  </r>
  <r>
    <s v="830-58-2383"/>
    <s v="B"/>
    <x v="2"/>
    <x v="1"/>
    <s v="Male"/>
    <x v="2"/>
    <n v="31.75"/>
    <n v="4"/>
    <n v="6.35"/>
    <n v="133.35"/>
    <x v="4"/>
    <d v="1899-12-30T15:26:00"/>
    <x v="1"/>
    <n v="127"/>
    <n v="4.7619047620000003"/>
    <n v="6.35"/>
    <x v="17"/>
  </r>
  <r>
    <s v="559-98-9873"/>
    <s v="A"/>
    <x v="0"/>
    <x v="0"/>
    <s v="Female"/>
    <x v="5"/>
    <n v="53.65"/>
    <n v="7"/>
    <n v="18.7775"/>
    <n v="394.32749999999999"/>
    <x v="34"/>
    <d v="1899-12-30T12:56:00"/>
    <x v="0"/>
    <n v="375.55"/>
    <n v="4.7619047620000003"/>
    <n v="18.7775"/>
    <x v="53"/>
  </r>
  <r>
    <s v="544-32-5024"/>
    <s v="C"/>
    <x v="1"/>
    <x v="0"/>
    <s v="Female"/>
    <x v="4"/>
    <n v="49.79"/>
    <n v="4"/>
    <n v="9.9580000000000002"/>
    <n v="209.11799999999999"/>
    <x v="61"/>
    <d v="1899-12-30T19:16:00"/>
    <x v="2"/>
    <n v="199.16"/>
    <n v="4.7619047620000003"/>
    <n v="9.9580000000000002"/>
    <x v="41"/>
  </r>
  <r>
    <s v="318-12-0304"/>
    <s v="A"/>
    <x v="0"/>
    <x v="1"/>
    <s v="Male"/>
    <x v="5"/>
    <n v="30.61"/>
    <n v="1"/>
    <n v="1.5305"/>
    <n v="32.140500000000003"/>
    <x v="54"/>
    <d v="1899-12-30T12:20:00"/>
    <x v="0"/>
    <n v="30.61"/>
    <n v="4.7619047620000003"/>
    <n v="1.5305"/>
    <x v="53"/>
  </r>
  <r>
    <s v="349-97-8902"/>
    <s v="B"/>
    <x v="2"/>
    <x v="0"/>
    <s v="Male"/>
    <x v="4"/>
    <n v="57.89"/>
    <n v="2"/>
    <n v="5.7889999999999997"/>
    <n v="121.569"/>
    <x v="29"/>
    <d v="1899-12-30T10:37:00"/>
    <x v="0"/>
    <n v="115.78"/>
    <n v="4.7619047620000003"/>
    <n v="5.7889999999999997"/>
    <x v="60"/>
  </r>
  <r>
    <s v="421-95-9805"/>
    <s v="A"/>
    <x v="0"/>
    <x v="1"/>
    <s v="Female"/>
    <x v="1"/>
    <n v="28.96"/>
    <n v="1"/>
    <n v="1.448"/>
    <n v="30.408000000000001"/>
    <x v="13"/>
    <d v="1899-12-30T10:18:00"/>
    <x v="2"/>
    <n v="28.96"/>
    <n v="4.7619047620000003"/>
    <n v="1.448"/>
    <x v="56"/>
  </r>
  <r>
    <s v="277-35-5865"/>
    <s v="C"/>
    <x v="1"/>
    <x v="0"/>
    <s v="Female"/>
    <x v="4"/>
    <n v="98.97"/>
    <n v="9"/>
    <n v="44.536499999999997"/>
    <n v="935.26649999999995"/>
    <x v="11"/>
    <d v="1899-12-30T11:23:00"/>
    <x v="1"/>
    <n v="890.73"/>
    <n v="4.7619047620000003"/>
    <n v="44.536499999999997"/>
    <x v="24"/>
  </r>
  <r>
    <s v="789-23-8625"/>
    <s v="B"/>
    <x v="2"/>
    <x v="0"/>
    <s v="Male"/>
    <x v="5"/>
    <n v="93.22"/>
    <n v="3"/>
    <n v="13.983000000000001"/>
    <n v="293.64299999999997"/>
    <x v="46"/>
    <d v="1899-12-30T11:45:00"/>
    <x v="1"/>
    <n v="279.66000000000003"/>
    <n v="4.7619047620000003"/>
    <n v="13.983000000000001"/>
    <x v="8"/>
  </r>
  <r>
    <s v="284-54-4231"/>
    <s v="C"/>
    <x v="1"/>
    <x v="0"/>
    <s v="Male"/>
    <x v="3"/>
    <n v="80.930000000000007"/>
    <n v="1"/>
    <n v="4.0465"/>
    <n v="84.976500000000001"/>
    <x v="64"/>
    <d v="1899-12-30T16:08:00"/>
    <x v="2"/>
    <n v="80.930000000000007"/>
    <n v="4.7619047620000003"/>
    <n v="4.0465"/>
    <x v="54"/>
  </r>
  <r>
    <s v="443-59-0061"/>
    <s v="A"/>
    <x v="0"/>
    <x v="0"/>
    <s v="Male"/>
    <x v="4"/>
    <n v="67.45"/>
    <n v="10"/>
    <n v="33.725000000000001"/>
    <n v="708.22500000000002"/>
    <x v="36"/>
    <d v="1899-12-30T11:25:00"/>
    <x v="0"/>
    <n v="674.5"/>
    <n v="4.7619047620000003"/>
    <n v="33.725000000000001"/>
    <x v="50"/>
  </r>
  <r>
    <s v="509-29-3912"/>
    <s v="A"/>
    <x v="0"/>
    <x v="0"/>
    <s v="Female"/>
    <x v="3"/>
    <n v="38.72"/>
    <n v="9"/>
    <n v="17.423999999999999"/>
    <n v="365.904"/>
    <x v="80"/>
    <d v="1899-12-30T12:24:00"/>
    <x v="0"/>
    <n v="348.48"/>
    <n v="4.7619047620000003"/>
    <n v="17.423999999999999"/>
    <x v="50"/>
  </r>
  <r>
    <s v="327-40-9673"/>
    <s v="B"/>
    <x v="2"/>
    <x v="0"/>
    <s v="Male"/>
    <x v="3"/>
    <n v="72.599999999999994"/>
    <n v="6"/>
    <n v="21.78"/>
    <n v="457.38"/>
    <x v="50"/>
    <d v="1899-12-30T19:51:00"/>
    <x v="1"/>
    <n v="435.6"/>
    <n v="4.7619047620000003"/>
    <n v="21.78"/>
    <x v="16"/>
  </r>
  <r>
    <s v="840-19-2096"/>
    <s v="C"/>
    <x v="1"/>
    <x v="0"/>
    <s v="Male"/>
    <x v="1"/>
    <n v="87.91"/>
    <n v="5"/>
    <n v="21.977499999999999"/>
    <n v="461.52749999999997"/>
    <x v="86"/>
    <d v="1899-12-30T18:10:00"/>
    <x v="0"/>
    <n v="439.55"/>
    <n v="4.7619047620000003"/>
    <n v="21.977499999999999"/>
    <x v="18"/>
  </r>
  <r>
    <s v="828-46-6863"/>
    <s v="A"/>
    <x v="0"/>
    <x v="0"/>
    <s v="Male"/>
    <x v="4"/>
    <n v="98.53"/>
    <n v="6"/>
    <n v="29.559000000000001"/>
    <n v="620.73900000000003"/>
    <x v="54"/>
    <d v="1899-12-30T11:22:00"/>
    <x v="2"/>
    <n v="591.17999999999995"/>
    <n v="4.7619047620000003"/>
    <n v="29.559000000000001"/>
    <x v="43"/>
  </r>
  <r>
    <s v="641-96-3695"/>
    <s v="C"/>
    <x v="1"/>
    <x v="0"/>
    <s v="Female"/>
    <x v="5"/>
    <n v="43.46"/>
    <n v="6"/>
    <n v="13.038"/>
    <n v="273.798"/>
    <x v="13"/>
    <d v="1899-12-30T17:55:00"/>
    <x v="0"/>
    <n v="260.76"/>
    <n v="4.7619047620000003"/>
    <n v="13.038"/>
    <x v="23"/>
  </r>
  <r>
    <s v="420-97-3340"/>
    <s v="A"/>
    <x v="0"/>
    <x v="1"/>
    <s v="Female"/>
    <x v="4"/>
    <n v="71.680000000000007"/>
    <n v="3"/>
    <n v="10.752000000000001"/>
    <n v="225.792"/>
    <x v="61"/>
    <d v="1899-12-30T15:30:00"/>
    <x v="2"/>
    <n v="215.04"/>
    <n v="4.7619047620000003"/>
    <n v="10.752000000000001"/>
    <x v="51"/>
  </r>
  <r>
    <s v="436-54-4512"/>
    <s v="A"/>
    <x v="0"/>
    <x v="0"/>
    <s v="Female"/>
    <x v="4"/>
    <n v="91.61"/>
    <n v="1"/>
    <n v="4.5804999999999998"/>
    <n v="96.1905"/>
    <x v="80"/>
    <d v="1899-12-30T19:44:00"/>
    <x v="1"/>
    <n v="91.61"/>
    <n v="4.7619047620000003"/>
    <n v="4.5804999999999998"/>
    <x v="57"/>
  </r>
  <r>
    <s v="670-79-6321"/>
    <s v="B"/>
    <x v="2"/>
    <x v="0"/>
    <s v="Female"/>
    <x v="2"/>
    <n v="94.59"/>
    <n v="7"/>
    <n v="33.106499999999997"/>
    <n v="695.23649999999998"/>
    <x v="29"/>
    <d v="1899-12-30T15:27:00"/>
    <x v="2"/>
    <n v="662.13"/>
    <n v="4.7619047620000003"/>
    <n v="33.106499999999997"/>
    <x v="49"/>
  </r>
  <r>
    <s v="852-62-7105"/>
    <s v="B"/>
    <x v="2"/>
    <x v="1"/>
    <s v="Female"/>
    <x v="5"/>
    <n v="83.25"/>
    <n v="10"/>
    <n v="41.625"/>
    <n v="874.125"/>
    <x v="52"/>
    <d v="1899-12-30T11:25:00"/>
    <x v="2"/>
    <n v="832.5"/>
    <n v="4.7619047620000003"/>
    <n v="41.625"/>
    <x v="18"/>
  </r>
  <r>
    <s v="598-06-7312"/>
    <s v="B"/>
    <x v="2"/>
    <x v="0"/>
    <s v="Male"/>
    <x v="5"/>
    <n v="91.35"/>
    <n v="1"/>
    <n v="4.5674999999999999"/>
    <n v="95.917500000000004"/>
    <x v="69"/>
    <d v="1899-12-30T15:42:00"/>
    <x v="1"/>
    <n v="91.35"/>
    <n v="4.7619047620000003"/>
    <n v="4.5674999999999999"/>
    <x v="11"/>
  </r>
  <r>
    <s v="135-13-8269"/>
    <s v="B"/>
    <x v="2"/>
    <x v="0"/>
    <s v="Female"/>
    <x v="4"/>
    <n v="78.88"/>
    <n v="2"/>
    <n v="7.8879999999999999"/>
    <n v="165.648"/>
    <x v="53"/>
    <d v="1899-12-30T16:04:00"/>
    <x v="1"/>
    <n v="157.76"/>
    <n v="4.7619047620000003"/>
    <n v="7.8879999999999999"/>
    <x v="0"/>
  </r>
  <r>
    <s v="816-57-2053"/>
    <s v="A"/>
    <x v="0"/>
    <x v="1"/>
    <s v="Male"/>
    <x v="3"/>
    <n v="60.87"/>
    <n v="2"/>
    <n v="6.0869999999999997"/>
    <n v="127.827"/>
    <x v="11"/>
    <d v="1899-12-30T12:37:00"/>
    <x v="0"/>
    <n v="121.74"/>
    <n v="4.7619047620000003"/>
    <n v="6.0869999999999997"/>
    <x v="44"/>
  </r>
  <r>
    <s v="628-90-8624"/>
    <s v="B"/>
    <x v="2"/>
    <x v="0"/>
    <s v="Male"/>
    <x v="0"/>
    <n v="82.58"/>
    <n v="10"/>
    <n v="41.29"/>
    <n v="867.09"/>
    <x v="86"/>
    <d v="1899-12-30T14:41:00"/>
    <x v="1"/>
    <n v="825.8"/>
    <n v="4.7619047620000003"/>
    <n v="41.29"/>
    <x v="59"/>
  </r>
  <r>
    <s v="856-66-2701"/>
    <s v="A"/>
    <x v="0"/>
    <x v="0"/>
    <s v="Male"/>
    <x v="2"/>
    <n v="53.3"/>
    <n v="3"/>
    <n v="7.9950000000000001"/>
    <n v="167.89500000000001"/>
    <x v="25"/>
    <d v="1899-12-30T14:19:00"/>
    <x v="0"/>
    <n v="159.9"/>
    <n v="4.7619047620000003"/>
    <n v="7.9950000000000001"/>
    <x v="26"/>
  </r>
  <r>
    <s v="308-39-1707"/>
    <s v="A"/>
    <x v="0"/>
    <x v="1"/>
    <s v="Female"/>
    <x v="5"/>
    <n v="12.09"/>
    <n v="1"/>
    <n v="0.60450000000000004"/>
    <n v="12.6945"/>
    <x v="53"/>
    <d v="1899-12-30T18:19:00"/>
    <x v="2"/>
    <n v="12.09"/>
    <n v="4.7619047620000003"/>
    <n v="0.60450000000000004"/>
    <x v="13"/>
  </r>
  <r>
    <s v="149-61-1929"/>
    <s v="A"/>
    <x v="0"/>
    <x v="1"/>
    <s v="Male"/>
    <x v="3"/>
    <n v="64.19"/>
    <n v="10"/>
    <n v="32.094999999999999"/>
    <n v="673.995"/>
    <x v="64"/>
    <d v="1899-12-30T14:08:00"/>
    <x v="2"/>
    <n v="641.9"/>
    <n v="4.7619047620000003"/>
    <n v="32.094999999999999"/>
    <x v="24"/>
  </r>
  <r>
    <s v="655-07-2265"/>
    <s v="A"/>
    <x v="0"/>
    <x v="1"/>
    <s v="Male"/>
    <x v="1"/>
    <n v="78.31"/>
    <n v="3"/>
    <n v="11.746499999999999"/>
    <n v="246.6765"/>
    <x v="19"/>
    <d v="1899-12-30T16:38:00"/>
    <x v="0"/>
    <n v="234.93"/>
    <n v="4.7619047620000003"/>
    <n v="11.746499999999999"/>
    <x v="38"/>
  </r>
  <r>
    <s v="589-02-8023"/>
    <s v="A"/>
    <x v="0"/>
    <x v="0"/>
    <s v="Male"/>
    <x v="4"/>
    <n v="83.77"/>
    <n v="2"/>
    <n v="8.3770000000000007"/>
    <n v="175.917"/>
    <x v="15"/>
    <d v="1899-12-30T10:54:00"/>
    <x v="2"/>
    <n v="167.54"/>
    <n v="4.7619047620000003"/>
    <n v="8.3770000000000007"/>
    <x v="27"/>
  </r>
  <r>
    <s v="420-04-7590"/>
    <s v="B"/>
    <x v="2"/>
    <x v="1"/>
    <s v="Male"/>
    <x v="2"/>
    <n v="99.7"/>
    <n v="3"/>
    <n v="14.955"/>
    <n v="314.05500000000001"/>
    <x v="79"/>
    <d v="1899-12-30T11:29:00"/>
    <x v="0"/>
    <n v="299.10000000000002"/>
    <n v="4.7619047620000003"/>
    <n v="14.955"/>
    <x v="28"/>
  </r>
  <r>
    <s v="182-88-2763"/>
    <s v="B"/>
    <x v="2"/>
    <x v="0"/>
    <s v="Male"/>
    <x v="4"/>
    <n v="79.91"/>
    <n v="3"/>
    <n v="11.986499999999999"/>
    <n v="251.7165"/>
    <x v="80"/>
    <d v="1899-12-30T19:28:00"/>
    <x v="2"/>
    <n v="239.73"/>
    <n v="4.7619047620000003"/>
    <n v="11.986499999999999"/>
    <x v="59"/>
  </r>
  <r>
    <s v="188-55-0967"/>
    <s v="B"/>
    <x v="2"/>
    <x v="0"/>
    <s v="Male"/>
    <x v="0"/>
    <n v="66.47"/>
    <n v="10"/>
    <n v="33.234999999999999"/>
    <n v="697.93499999999995"/>
    <x v="15"/>
    <d v="1899-12-30T15:01:00"/>
    <x v="2"/>
    <n v="664.7"/>
    <n v="4.7619047620000003"/>
    <n v="33.234999999999999"/>
    <x v="59"/>
  </r>
  <r>
    <s v="610-46-4100"/>
    <s v="A"/>
    <x v="0"/>
    <x v="1"/>
    <s v="Male"/>
    <x v="0"/>
    <n v="28.95"/>
    <n v="7"/>
    <n v="10.1325"/>
    <n v="212.7825"/>
    <x v="2"/>
    <d v="1899-12-30T20:31:00"/>
    <x v="2"/>
    <n v="202.65"/>
    <n v="4.7619047620000003"/>
    <n v="10.1325"/>
    <x v="22"/>
  </r>
  <r>
    <s v="318-81-2368"/>
    <s v="C"/>
    <x v="1"/>
    <x v="1"/>
    <s v="Female"/>
    <x v="1"/>
    <n v="46.2"/>
    <n v="1"/>
    <n v="2.31"/>
    <n v="48.51"/>
    <x v="35"/>
    <d v="1899-12-30T12:16:00"/>
    <x v="1"/>
    <n v="46.2"/>
    <n v="4.7619047620000003"/>
    <n v="2.31"/>
    <x v="31"/>
  </r>
  <r>
    <s v="364-33-8584"/>
    <s v="B"/>
    <x v="2"/>
    <x v="0"/>
    <s v="Female"/>
    <x v="4"/>
    <n v="17.63"/>
    <n v="5"/>
    <n v="4.4074999999999998"/>
    <n v="92.557500000000005"/>
    <x v="1"/>
    <d v="1899-12-30T15:27:00"/>
    <x v="1"/>
    <n v="88.15"/>
    <n v="4.7619047620000003"/>
    <n v="4.4074999999999998"/>
    <x v="23"/>
  </r>
  <r>
    <s v="665-63-9737"/>
    <s v="B"/>
    <x v="2"/>
    <x v="1"/>
    <s v="Male"/>
    <x v="5"/>
    <n v="52.42"/>
    <n v="3"/>
    <n v="7.8630000000000004"/>
    <n v="165.12299999999999"/>
    <x v="33"/>
    <d v="1899-12-30T17:36:00"/>
    <x v="0"/>
    <n v="157.26"/>
    <n v="4.7619047620000003"/>
    <n v="7.8630000000000004"/>
    <x v="26"/>
  </r>
  <r>
    <s v="695-09-5146"/>
    <s v="B"/>
    <x v="2"/>
    <x v="0"/>
    <s v="Female"/>
    <x v="4"/>
    <n v="98.79"/>
    <n v="3"/>
    <n v="14.8185"/>
    <n v="311.18849999999998"/>
    <x v="55"/>
    <d v="1899-12-30T20:00:00"/>
    <x v="0"/>
    <n v="296.37"/>
    <n v="4.7619047620000003"/>
    <n v="14.8185"/>
    <x v="41"/>
  </r>
  <r>
    <s v="155-45-3814"/>
    <s v="C"/>
    <x v="1"/>
    <x v="0"/>
    <s v="Female"/>
    <x v="1"/>
    <n v="88.55"/>
    <n v="8"/>
    <n v="35.42"/>
    <n v="743.82"/>
    <x v="35"/>
    <d v="1899-12-30T15:29:00"/>
    <x v="0"/>
    <n v="708.4"/>
    <n v="4.7619047620000003"/>
    <n v="35.42"/>
    <x v="28"/>
  </r>
  <r>
    <s v="794-32-2436"/>
    <s v="B"/>
    <x v="2"/>
    <x v="0"/>
    <s v="Male"/>
    <x v="1"/>
    <n v="55.67"/>
    <n v="2"/>
    <n v="5.5670000000000002"/>
    <n v="116.907"/>
    <x v="39"/>
    <d v="1899-12-30T15:08:00"/>
    <x v="0"/>
    <n v="111.34"/>
    <n v="4.7619047620000003"/>
    <n v="5.5670000000000002"/>
    <x v="22"/>
  </r>
  <r>
    <s v="131-15-8856"/>
    <s v="C"/>
    <x v="1"/>
    <x v="0"/>
    <s v="Female"/>
    <x v="4"/>
    <n v="72.52"/>
    <n v="8"/>
    <n v="29.007999999999999"/>
    <n v="609.16800000000001"/>
    <x v="73"/>
    <d v="1899-12-30T19:26:00"/>
    <x v="2"/>
    <n v="580.16"/>
    <n v="4.7619047620000003"/>
    <n v="29.007999999999999"/>
    <x v="43"/>
  </r>
  <r>
    <s v="273-84-2164"/>
    <s v="C"/>
    <x v="1"/>
    <x v="0"/>
    <s v="Male"/>
    <x v="1"/>
    <n v="12.05"/>
    <n v="5"/>
    <n v="3.0125000000000002"/>
    <n v="63.262500000000003"/>
    <x v="69"/>
    <d v="1899-12-30T15:53:00"/>
    <x v="0"/>
    <n v="60.25"/>
    <n v="4.7619047620000003"/>
    <n v="3.0125000000000002"/>
    <x v="46"/>
  </r>
  <r>
    <s v="706-36-6154"/>
    <s v="A"/>
    <x v="0"/>
    <x v="0"/>
    <s v="Male"/>
    <x v="2"/>
    <n v="19.36"/>
    <n v="9"/>
    <n v="8.7119999999999997"/>
    <n v="182.952"/>
    <x v="68"/>
    <d v="1899-12-30T18:43:00"/>
    <x v="0"/>
    <n v="174.24"/>
    <n v="4.7619047620000003"/>
    <n v="8.7119999999999997"/>
    <x v="44"/>
  </r>
  <r>
    <s v="778-89-7974"/>
    <s v="C"/>
    <x v="1"/>
    <x v="1"/>
    <s v="Male"/>
    <x v="0"/>
    <n v="70.209999999999994"/>
    <n v="6"/>
    <n v="21.062999999999999"/>
    <n v="442.32299999999998"/>
    <x v="73"/>
    <d v="1899-12-30T14:58:00"/>
    <x v="1"/>
    <n v="421.26"/>
    <n v="4.7619047620000003"/>
    <n v="21.062999999999999"/>
    <x v="2"/>
  </r>
  <r>
    <s v="574-31-8277"/>
    <s v="B"/>
    <x v="2"/>
    <x v="0"/>
    <s v="Male"/>
    <x v="5"/>
    <n v="33.630000000000003"/>
    <n v="1"/>
    <n v="1.6815"/>
    <n v="35.311500000000002"/>
    <x v="80"/>
    <d v="1899-12-30T19:55:00"/>
    <x v="1"/>
    <n v="33.630000000000003"/>
    <n v="4.7619047620000003"/>
    <n v="1.6815"/>
    <x v="32"/>
  </r>
  <r>
    <s v="859-71-0933"/>
    <s v="C"/>
    <x v="1"/>
    <x v="0"/>
    <s v="Female"/>
    <x v="3"/>
    <n v="15.49"/>
    <n v="2"/>
    <n v="1.5489999999999999"/>
    <n v="32.529000000000003"/>
    <x v="65"/>
    <d v="1899-12-30T15:10:00"/>
    <x v="1"/>
    <n v="30.98"/>
    <n v="4.7619047620000003"/>
    <n v="1.5489999999999999"/>
    <x v="31"/>
  </r>
  <r>
    <s v="740-11-5257"/>
    <s v="C"/>
    <x v="1"/>
    <x v="1"/>
    <s v="Male"/>
    <x v="1"/>
    <n v="24.74"/>
    <n v="10"/>
    <n v="12.37"/>
    <n v="259.77"/>
    <x v="7"/>
    <d v="1899-12-30T16:44:00"/>
    <x v="1"/>
    <n v="247.4"/>
    <n v="4.7619047620000003"/>
    <n v="12.37"/>
    <x v="12"/>
  </r>
  <r>
    <s v="369-82-2676"/>
    <s v="B"/>
    <x v="2"/>
    <x v="1"/>
    <s v="Male"/>
    <x v="1"/>
    <n v="75.66"/>
    <n v="5"/>
    <n v="18.914999999999999"/>
    <n v="397.21499999999997"/>
    <x v="15"/>
    <d v="1899-12-30T18:22:00"/>
    <x v="0"/>
    <n v="378.3"/>
    <n v="4.7619047620000003"/>
    <n v="18.914999999999999"/>
    <x v="52"/>
  </r>
  <r>
    <s v="563-47-4072"/>
    <s v="B"/>
    <x v="2"/>
    <x v="1"/>
    <s v="Female"/>
    <x v="0"/>
    <n v="55.81"/>
    <n v="6"/>
    <n v="16.742999999999999"/>
    <n v="351.60300000000001"/>
    <x v="49"/>
    <d v="1899-12-30T11:52:00"/>
    <x v="1"/>
    <n v="334.86"/>
    <n v="4.7619047620000003"/>
    <n v="16.742999999999999"/>
    <x v="21"/>
  </r>
  <r>
    <s v="742-04-5161"/>
    <s v="A"/>
    <x v="0"/>
    <x v="0"/>
    <s v="Male"/>
    <x v="2"/>
    <n v="72.78"/>
    <n v="10"/>
    <n v="36.39"/>
    <n v="764.19"/>
    <x v="36"/>
    <d v="1899-12-30T17:24:00"/>
    <x v="1"/>
    <n v="727.8"/>
    <n v="4.7619047620000003"/>
    <n v="36.39"/>
    <x v="48"/>
  </r>
  <r>
    <s v="149-15-7606"/>
    <s v="B"/>
    <x v="2"/>
    <x v="0"/>
    <s v="Male"/>
    <x v="3"/>
    <n v="37.32"/>
    <n v="9"/>
    <n v="16.794"/>
    <n v="352.67399999999998"/>
    <x v="43"/>
    <d v="1899-12-30T15:31:00"/>
    <x v="0"/>
    <n v="335.88"/>
    <n v="4.7619047620000003"/>
    <n v="16.794"/>
    <x v="20"/>
  </r>
  <r>
    <s v="133-77-3154"/>
    <s v="B"/>
    <x v="2"/>
    <x v="0"/>
    <s v="Male"/>
    <x v="5"/>
    <n v="60.18"/>
    <n v="4"/>
    <n v="12.036"/>
    <n v="252.756"/>
    <x v="69"/>
    <d v="1899-12-30T18:04:00"/>
    <x v="2"/>
    <n v="240.72"/>
    <n v="4.7619047620000003"/>
    <n v="12.036"/>
    <x v="45"/>
  </r>
  <r>
    <s v="169-52-4504"/>
    <s v="A"/>
    <x v="0"/>
    <x v="1"/>
    <s v="Female"/>
    <x v="1"/>
    <n v="15.69"/>
    <n v="3"/>
    <n v="2.3534999999999999"/>
    <n v="49.423499999999997"/>
    <x v="86"/>
    <d v="1899-12-30T14:13:00"/>
    <x v="2"/>
    <n v="47.07"/>
    <n v="4.7619047620000003"/>
    <n v="2.3534999999999999"/>
    <x v="6"/>
  </r>
  <r>
    <s v="250-81-7186"/>
    <s v="C"/>
    <x v="1"/>
    <x v="1"/>
    <s v="Female"/>
    <x v="1"/>
    <n v="99.69"/>
    <n v="1"/>
    <n v="4.9844999999999997"/>
    <n v="104.67449999999999"/>
    <x v="33"/>
    <d v="1899-12-30T10:23:00"/>
    <x v="2"/>
    <n v="99.69"/>
    <n v="4.7619047620000003"/>
    <n v="4.9844999999999997"/>
    <x v="7"/>
  </r>
  <r>
    <s v="562-12-5430"/>
    <s v="A"/>
    <x v="0"/>
    <x v="0"/>
    <s v="Female"/>
    <x v="5"/>
    <n v="88.15"/>
    <n v="3"/>
    <n v="13.2225"/>
    <n v="277.67250000000001"/>
    <x v="68"/>
    <d v="1899-12-30T10:11:00"/>
    <x v="0"/>
    <n v="264.45"/>
    <n v="4.7619047620000003"/>
    <n v="13.2225"/>
    <x v="30"/>
  </r>
  <r>
    <s v="816-72-8853"/>
    <s v="A"/>
    <x v="0"/>
    <x v="0"/>
    <s v="Female"/>
    <x v="3"/>
    <n v="27.93"/>
    <n v="5"/>
    <n v="6.9824999999999999"/>
    <n v="146.63249999999999"/>
    <x v="71"/>
    <d v="1899-12-30T15:48:00"/>
    <x v="1"/>
    <n v="139.65"/>
    <n v="4.7619047620000003"/>
    <n v="6.9824999999999999"/>
    <x v="9"/>
  </r>
  <r>
    <s v="491-38-3499"/>
    <s v="A"/>
    <x v="0"/>
    <x v="0"/>
    <s v="Male"/>
    <x v="5"/>
    <n v="55.45"/>
    <n v="1"/>
    <n v="2.7725"/>
    <n v="58.222499999999997"/>
    <x v="84"/>
    <d v="1899-12-30T17:46:00"/>
    <x v="2"/>
    <n v="55.45"/>
    <n v="4.7619047620000003"/>
    <n v="2.7725"/>
    <x v="49"/>
  </r>
  <r>
    <s v="322-02-2271"/>
    <s v="B"/>
    <x v="2"/>
    <x v="1"/>
    <s v="Female"/>
    <x v="3"/>
    <n v="42.97"/>
    <n v="3"/>
    <n v="6.4455"/>
    <n v="135.35550000000001"/>
    <x v="36"/>
    <d v="1899-12-30T11:46:00"/>
    <x v="1"/>
    <n v="128.91"/>
    <n v="4.7619047620000003"/>
    <n v="6.4455"/>
    <x v="39"/>
  </r>
  <r>
    <s v="842-29-4695"/>
    <s v="C"/>
    <x v="1"/>
    <x v="0"/>
    <s v="Male"/>
    <x v="3"/>
    <n v="17.14"/>
    <n v="7"/>
    <n v="5.9989999999999997"/>
    <n v="125.979"/>
    <x v="65"/>
    <d v="1899-12-30T12:07:00"/>
    <x v="2"/>
    <n v="119.98"/>
    <n v="4.7619047620000003"/>
    <n v="5.9989999999999997"/>
    <x v="30"/>
  </r>
  <r>
    <s v="725-67-2480"/>
    <s v="B"/>
    <x v="2"/>
    <x v="0"/>
    <s v="Female"/>
    <x v="5"/>
    <n v="58.75"/>
    <n v="6"/>
    <n v="17.625"/>
    <n v="370.125"/>
    <x v="62"/>
    <d v="1899-12-30T18:14:00"/>
    <x v="2"/>
    <n v="352.5"/>
    <n v="4.7619047620000003"/>
    <n v="17.625"/>
    <x v="9"/>
  </r>
  <r>
    <s v="641-51-2661"/>
    <s v="C"/>
    <x v="1"/>
    <x v="0"/>
    <s v="Female"/>
    <x v="4"/>
    <n v="87.1"/>
    <n v="10"/>
    <n v="43.55"/>
    <n v="914.55"/>
    <x v="12"/>
    <d v="1899-12-30T14:45:00"/>
    <x v="2"/>
    <n v="871"/>
    <n v="4.7619047620000003"/>
    <n v="43.55"/>
    <x v="21"/>
  </r>
  <r>
    <s v="714-02-3114"/>
    <s v="C"/>
    <x v="1"/>
    <x v="1"/>
    <s v="Female"/>
    <x v="3"/>
    <n v="98.8"/>
    <n v="2"/>
    <n v="9.8800000000000008"/>
    <n v="207.48"/>
    <x v="81"/>
    <d v="1899-12-30T11:39:00"/>
    <x v="1"/>
    <n v="197.6"/>
    <n v="4.7619047620000003"/>
    <n v="9.8800000000000008"/>
    <x v="25"/>
  </r>
  <r>
    <s v="518-17-2983"/>
    <s v="A"/>
    <x v="0"/>
    <x v="1"/>
    <s v="Female"/>
    <x v="5"/>
    <n v="48.63"/>
    <n v="4"/>
    <n v="9.7260000000000009"/>
    <n v="204.24600000000001"/>
    <x v="87"/>
    <d v="1899-12-30T15:44:00"/>
    <x v="0"/>
    <n v="194.52"/>
    <n v="4.7619047620000003"/>
    <n v="9.7260000000000009"/>
    <x v="29"/>
  </r>
  <r>
    <s v="779-42-2410"/>
    <s v="B"/>
    <x v="2"/>
    <x v="0"/>
    <s v="Male"/>
    <x v="4"/>
    <n v="57.74"/>
    <n v="3"/>
    <n v="8.6609999999999996"/>
    <n v="181.881"/>
    <x v="9"/>
    <d v="1899-12-30T13:06:00"/>
    <x v="0"/>
    <n v="173.22"/>
    <n v="4.7619047620000003"/>
    <n v="8.6609999999999996"/>
    <x v="25"/>
  </r>
  <r>
    <s v="190-14-3147"/>
    <s v="B"/>
    <x v="2"/>
    <x v="1"/>
    <s v="Female"/>
    <x v="0"/>
    <n v="17.97"/>
    <n v="4"/>
    <n v="3.5939999999999999"/>
    <n v="75.474000000000004"/>
    <x v="55"/>
    <d v="1899-12-30T20:43:00"/>
    <x v="0"/>
    <n v="71.88"/>
    <n v="4.7619047620000003"/>
    <n v="3.5939999999999999"/>
    <x v="41"/>
  </r>
  <r>
    <s v="408-66-6712"/>
    <s v="C"/>
    <x v="1"/>
    <x v="0"/>
    <s v="Female"/>
    <x v="0"/>
    <n v="47.71"/>
    <n v="6"/>
    <n v="14.313000000000001"/>
    <n v="300.57299999999998"/>
    <x v="69"/>
    <d v="1899-12-30T14:19:00"/>
    <x v="0"/>
    <n v="286.26"/>
    <n v="4.7619047620000003"/>
    <n v="14.313000000000001"/>
    <x v="18"/>
  </r>
  <r>
    <s v="679-22-6530"/>
    <s v="B"/>
    <x v="2"/>
    <x v="1"/>
    <s v="Female"/>
    <x v="3"/>
    <n v="40.619999999999997"/>
    <n v="2"/>
    <n v="4.0620000000000003"/>
    <n v="85.302000000000007"/>
    <x v="29"/>
    <d v="1899-12-30T10:01:00"/>
    <x v="2"/>
    <n v="81.239999999999995"/>
    <n v="4.7619047620000003"/>
    <n v="4.0620000000000003"/>
    <x v="5"/>
  </r>
  <r>
    <s v="588-47-8641"/>
    <s v="A"/>
    <x v="0"/>
    <x v="0"/>
    <s v="Male"/>
    <x v="5"/>
    <n v="56.04"/>
    <n v="10"/>
    <n v="28.02"/>
    <n v="588.41999999999996"/>
    <x v="78"/>
    <d v="1899-12-30T19:30:00"/>
    <x v="0"/>
    <n v="560.4"/>
    <n v="4.7619047620000003"/>
    <n v="28.02"/>
    <x v="18"/>
  </r>
  <r>
    <s v="642-61-4706"/>
    <s v="B"/>
    <x v="2"/>
    <x v="0"/>
    <s v="Male"/>
    <x v="4"/>
    <n v="93.4"/>
    <n v="2"/>
    <n v="9.34"/>
    <n v="196.14"/>
    <x v="73"/>
    <d v="1899-12-30T16:34:00"/>
    <x v="1"/>
    <n v="186.8"/>
    <n v="4.7619047620000003"/>
    <n v="9.34"/>
    <x v="46"/>
  </r>
  <r>
    <s v="576-31-4774"/>
    <s v="B"/>
    <x v="2"/>
    <x v="1"/>
    <s v="Female"/>
    <x v="0"/>
    <n v="73.41"/>
    <n v="3"/>
    <n v="11.0115"/>
    <n v="231.2415"/>
    <x v="22"/>
    <d v="1899-12-30T13:10:00"/>
    <x v="0"/>
    <n v="220.23"/>
    <n v="4.7619047620000003"/>
    <n v="11.0115"/>
    <x v="43"/>
  </r>
  <r>
    <s v="556-41-6224"/>
    <s v="C"/>
    <x v="1"/>
    <x v="1"/>
    <s v="Male"/>
    <x v="0"/>
    <n v="33.64"/>
    <n v="8"/>
    <n v="13.456"/>
    <n v="282.57600000000002"/>
    <x v="42"/>
    <d v="1899-12-30T17:10:00"/>
    <x v="2"/>
    <n v="269.12"/>
    <n v="4.7619047620000003"/>
    <n v="13.456"/>
    <x v="39"/>
  </r>
  <r>
    <s v="811-03-8790"/>
    <s v="A"/>
    <x v="0"/>
    <x v="1"/>
    <s v="Female"/>
    <x v="1"/>
    <n v="45.48"/>
    <n v="10"/>
    <n v="22.74"/>
    <n v="477.54"/>
    <x v="59"/>
    <d v="1899-12-30T10:22:00"/>
    <x v="2"/>
    <n v="454.8"/>
    <n v="4.7619047620000003"/>
    <n v="22.74"/>
    <x v="19"/>
  </r>
  <r>
    <s v="242-11-3142"/>
    <s v="B"/>
    <x v="2"/>
    <x v="0"/>
    <s v="Male"/>
    <x v="5"/>
    <n v="83.77"/>
    <n v="2"/>
    <n v="8.3770000000000007"/>
    <n v="175.917"/>
    <x v="7"/>
    <d v="1899-12-30T19:57:00"/>
    <x v="1"/>
    <n v="167.54"/>
    <n v="4.7619047620000003"/>
    <n v="8.3770000000000007"/>
    <x v="15"/>
  </r>
  <r>
    <s v="752-23-3760"/>
    <s v="B"/>
    <x v="2"/>
    <x v="0"/>
    <s v="Female"/>
    <x v="3"/>
    <n v="64.08"/>
    <n v="7"/>
    <n v="22.428000000000001"/>
    <n v="470.988"/>
    <x v="88"/>
    <d v="1899-12-30T19:29:00"/>
    <x v="2"/>
    <n v="448.56"/>
    <n v="4.7619047620000003"/>
    <n v="22.428000000000001"/>
    <x v="48"/>
  </r>
  <r>
    <s v="274-05-5470"/>
    <s v="A"/>
    <x v="0"/>
    <x v="0"/>
    <s v="Female"/>
    <x v="4"/>
    <n v="73.47"/>
    <n v="4"/>
    <n v="14.694000000000001"/>
    <n v="308.57400000000001"/>
    <x v="55"/>
    <d v="1899-12-30T18:30:00"/>
    <x v="1"/>
    <n v="293.88"/>
    <n v="4.7619047620000003"/>
    <n v="14.694000000000001"/>
    <x v="22"/>
  </r>
  <r>
    <s v="648-94-3045"/>
    <s v="C"/>
    <x v="1"/>
    <x v="1"/>
    <s v="Male"/>
    <x v="0"/>
    <n v="58.95"/>
    <n v="10"/>
    <n v="29.475000000000001"/>
    <n v="618.97500000000002"/>
    <x v="13"/>
    <d v="1899-12-30T14:27:00"/>
    <x v="0"/>
    <n v="589.5"/>
    <n v="4.7619047620000003"/>
    <n v="29.475000000000001"/>
    <x v="34"/>
  </r>
  <r>
    <s v="130-67-4723"/>
    <s v="A"/>
    <x v="0"/>
    <x v="0"/>
    <s v="Male"/>
    <x v="4"/>
    <n v="48.5"/>
    <n v="6"/>
    <n v="14.55"/>
    <n v="305.55"/>
    <x v="83"/>
    <d v="1899-12-30T13:57:00"/>
    <x v="0"/>
    <n v="291"/>
    <n v="4.7619047620000003"/>
    <n v="14.55"/>
    <x v="45"/>
  </r>
  <r>
    <s v="528-87-5606"/>
    <s v="B"/>
    <x v="2"/>
    <x v="0"/>
    <s v="Female"/>
    <x v="1"/>
    <n v="39.479999999999997"/>
    <n v="1"/>
    <n v="1.974"/>
    <n v="41.454000000000001"/>
    <x v="12"/>
    <d v="1899-12-30T19:43:00"/>
    <x v="1"/>
    <n v="39.479999999999997"/>
    <n v="4.7619047620000003"/>
    <n v="1.974"/>
    <x v="35"/>
  </r>
  <r>
    <s v="320-85-2052"/>
    <s v="B"/>
    <x v="2"/>
    <x v="1"/>
    <s v="Female"/>
    <x v="3"/>
    <n v="34.81"/>
    <n v="1"/>
    <n v="1.7404999999999999"/>
    <n v="36.5505"/>
    <x v="78"/>
    <d v="1899-12-30T10:11:00"/>
    <x v="2"/>
    <n v="34.81"/>
    <n v="4.7619047620000003"/>
    <n v="1.7404999999999999"/>
    <x v="27"/>
  </r>
  <r>
    <s v="370-96-0655"/>
    <s v="C"/>
    <x v="1"/>
    <x v="1"/>
    <s v="Female"/>
    <x v="5"/>
    <n v="49.32"/>
    <n v="6"/>
    <n v="14.795999999999999"/>
    <n v="310.71600000000001"/>
    <x v="51"/>
    <d v="1899-12-30T13:46:00"/>
    <x v="0"/>
    <n v="295.92"/>
    <n v="4.7619047620000003"/>
    <n v="14.795999999999999"/>
    <x v="12"/>
  </r>
  <r>
    <s v="105-10-6182"/>
    <s v="A"/>
    <x v="0"/>
    <x v="0"/>
    <s v="Male"/>
    <x v="5"/>
    <n v="21.48"/>
    <n v="2"/>
    <n v="2.1480000000000001"/>
    <n v="45.107999999999997"/>
    <x v="33"/>
    <d v="1899-12-30T12:22:00"/>
    <x v="0"/>
    <n v="42.96"/>
    <n v="4.7619047620000003"/>
    <n v="2.1480000000000001"/>
    <x v="37"/>
  </r>
  <r>
    <s v="510-79-0415"/>
    <s v="B"/>
    <x v="2"/>
    <x v="0"/>
    <s v="Female"/>
    <x v="3"/>
    <n v="23.08"/>
    <n v="6"/>
    <n v="6.9240000000000004"/>
    <n v="145.404"/>
    <x v="46"/>
    <d v="1899-12-30T19:20:00"/>
    <x v="0"/>
    <n v="138.47999999999999"/>
    <n v="4.7619047620000003"/>
    <n v="6.9240000000000004"/>
    <x v="49"/>
  </r>
  <r>
    <s v="241-96-5076"/>
    <s v="B"/>
    <x v="2"/>
    <x v="0"/>
    <s v="Female"/>
    <x v="2"/>
    <n v="49.1"/>
    <n v="2"/>
    <n v="4.91"/>
    <n v="103.11"/>
    <x v="66"/>
    <d v="1899-12-30T12:58:00"/>
    <x v="2"/>
    <n v="98.2"/>
    <n v="4.7619047620000003"/>
    <n v="4.91"/>
    <x v="41"/>
  </r>
  <r>
    <s v="767-97-4650"/>
    <s v="B"/>
    <x v="2"/>
    <x v="0"/>
    <s v="Female"/>
    <x v="3"/>
    <n v="64.83"/>
    <n v="2"/>
    <n v="6.4829999999999997"/>
    <n v="136.143"/>
    <x v="66"/>
    <d v="1899-12-30T11:59:00"/>
    <x v="2"/>
    <n v="129.66"/>
    <n v="4.7619047620000003"/>
    <n v="6.4829999999999997"/>
    <x v="7"/>
  </r>
  <r>
    <s v="648-83-1321"/>
    <s v="A"/>
    <x v="0"/>
    <x v="0"/>
    <s v="Male"/>
    <x v="2"/>
    <n v="63.56"/>
    <n v="10"/>
    <n v="31.78"/>
    <n v="667.38"/>
    <x v="65"/>
    <d v="1899-12-30T17:59:00"/>
    <x v="1"/>
    <n v="635.6"/>
    <n v="4.7619047620000003"/>
    <n v="31.78"/>
    <x v="42"/>
  </r>
  <r>
    <s v="173-57-2300"/>
    <s v="C"/>
    <x v="1"/>
    <x v="0"/>
    <s v="Male"/>
    <x v="3"/>
    <n v="72.88"/>
    <n v="2"/>
    <n v="7.2880000000000003"/>
    <n v="153.048"/>
    <x v="45"/>
    <d v="1899-12-30T12:51:00"/>
    <x v="1"/>
    <n v="145.76"/>
    <n v="4.7619047620000003"/>
    <n v="7.2880000000000003"/>
    <x v="36"/>
  </r>
  <r>
    <s v="305-03-2383"/>
    <s v="A"/>
    <x v="0"/>
    <x v="1"/>
    <s v="Female"/>
    <x v="4"/>
    <n v="67.099999999999994"/>
    <n v="3"/>
    <n v="10.065"/>
    <n v="211.36500000000001"/>
    <x v="42"/>
    <d v="1899-12-30T10:36:00"/>
    <x v="1"/>
    <n v="201.3"/>
    <n v="4.7619047620000003"/>
    <n v="10.065"/>
    <x v="26"/>
  </r>
  <r>
    <s v="394-55-6384"/>
    <s v="C"/>
    <x v="1"/>
    <x v="0"/>
    <s v="Female"/>
    <x v="3"/>
    <n v="70.19"/>
    <n v="9"/>
    <n v="31.5855"/>
    <n v="663.29549999999995"/>
    <x v="25"/>
    <d v="1899-12-30T13:38:00"/>
    <x v="1"/>
    <n v="631.71"/>
    <n v="4.7619047620000003"/>
    <n v="31.5855"/>
    <x v="24"/>
  </r>
  <r>
    <s v="266-20-6657"/>
    <s v="C"/>
    <x v="1"/>
    <x v="0"/>
    <s v="Male"/>
    <x v="4"/>
    <n v="55.04"/>
    <n v="7"/>
    <n v="19.263999999999999"/>
    <n v="404.54399999999998"/>
    <x v="41"/>
    <d v="1899-12-30T19:39:00"/>
    <x v="0"/>
    <n v="385.28"/>
    <n v="4.7619047620000003"/>
    <n v="19.263999999999999"/>
    <x v="53"/>
  </r>
  <r>
    <s v="689-05-1884"/>
    <s v="A"/>
    <x v="0"/>
    <x v="0"/>
    <s v="Male"/>
    <x v="0"/>
    <n v="48.63"/>
    <n v="10"/>
    <n v="24.315000000000001"/>
    <n v="510.61500000000001"/>
    <x v="31"/>
    <d v="1899-12-30T12:44:00"/>
    <x v="1"/>
    <n v="486.3"/>
    <n v="4.7619047620000003"/>
    <n v="24.315000000000001"/>
    <x v="55"/>
  </r>
  <r>
    <s v="196-01-2849"/>
    <s v="C"/>
    <x v="1"/>
    <x v="0"/>
    <s v="Female"/>
    <x v="5"/>
    <n v="73.38"/>
    <n v="7"/>
    <n v="25.683"/>
    <n v="539.34299999999996"/>
    <x v="34"/>
    <d v="1899-12-30T13:56:00"/>
    <x v="1"/>
    <n v="513.66"/>
    <n v="4.7619047620000003"/>
    <n v="25.683"/>
    <x v="33"/>
  </r>
  <r>
    <s v="372-62-5264"/>
    <s v="C"/>
    <x v="1"/>
    <x v="1"/>
    <s v="Female"/>
    <x v="4"/>
    <n v="52.6"/>
    <n v="9"/>
    <n v="23.67"/>
    <n v="497.07"/>
    <x v="65"/>
    <d v="1899-12-30T14:42:00"/>
    <x v="1"/>
    <n v="473.4"/>
    <n v="4.7619047620000003"/>
    <n v="23.67"/>
    <x v="29"/>
  </r>
  <r>
    <s v="800-09-8606"/>
    <s v="A"/>
    <x v="0"/>
    <x v="0"/>
    <s v="Female"/>
    <x v="2"/>
    <n v="87.37"/>
    <n v="5"/>
    <n v="21.842500000000001"/>
    <n v="458.6925"/>
    <x v="71"/>
    <d v="1899-12-30T19:45:00"/>
    <x v="1"/>
    <n v="436.85"/>
    <n v="4.7619047620000003"/>
    <n v="21.842500000000001"/>
    <x v="37"/>
  </r>
  <r>
    <s v="182-52-7000"/>
    <s v="A"/>
    <x v="0"/>
    <x v="0"/>
    <s v="Female"/>
    <x v="3"/>
    <n v="27.04"/>
    <n v="4"/>
    <n v="5.4080000000000004"/>
    <n v="113.568"/>
    <x v="17"/>
    <d v="1899-12-30T20:26:00"/>
    <x v="0"/>
    <n v="108.16"/>
    <n v="4.7619047620000003"/>
    <n v="5.4080000000000004"/>
    <x v="16"/>
  </r>
  <r>
    <s v="826-58-8051"/>
    <s v="B"/>
    <x v="2"/>
    <x v="1"/>
    <s v="Male"/>
    <x v="2"/>
    <n v="62.19"/>
    <n v="4"/>
    <n v="12.438000000000001"/>
    <n v="261.19799999999998"/>
    <x v="47"/>
    <d v="1899-12-30T19:46:00"/>
    <x v="0"/>
    <n v="248.76"/>
    <n v="4.7619047620000003"/>
    <n v="12.438000000000001"/>
    <x v="42"/>
  </r>
  <r>
    <s v="868-06-0466"/>
    <s v="A"/>
    <x v="0"/>
    <x v="0"/>
    <s v="Male"/>
    <x v="1"/>
    <n v="69.58"/>
    <n v="9"/>
    <n v="31.311"/>
    <n v="657.53099999999995"/>
    <x v="88"/>
    <d v="1899-12-30T19:38:00"/>
    <x v="2"/>
    <n v="626.22"/>
    <n v="4.7619047620000003"/>
    <n v="31.311"/>
    <x v="52"/>
  </r>
  <r>
    <s v="751-41-9720"/>
    <s v="C"/>
    <x v="1"/>
    <x v="1"/>
    <s v="Male"/>
    <x v="2"/>
    <n v="97.5"/>
    <n v="10"/>
    <n v="48.75"/>
    <n v="1023.75"/>
    <x v="52"/>
    <d v="1899-12-30T16:18:00"/>
    <x v="0"/>
    <n v="975"/>
    <n v="4.7619047620000003"/>
    <n v="48.75"/>
    <x v="7"/>
  </r>
  <r>
    <s v="626-43-7888"/>
    <s v="C"/>
    <x v="1"/>
    <x v="1"/>
    <s v="Female"/>
    <x v="5"/>
    <n v="60.41"/>
    <n v="8"/>
    <n v="24.164000000000001"/>
    <n v="507.44400000000002"/>
    <x v="13"/>
    <d v="1899-12-30T12:23:00"/>
    <x v="0"/>
    <n v="483.28"/>
    <n v="4.7619047620000003"/>
    <n v="24.164000000000001"/>
    <x v="1"/>
  </r>
  <r>
    <s v="176-64-7711"/>
    <s v="B"/>
    <x v="2"/>
    <x v="1"/>
    <s v="Male"/>
    <x v="4"/>
    <n v="32.32"/>
    <n v="3"/>
    <n v="4.8479999999999999"/>
    <n v="101.80800000000001"/>
    <x v="39"/>
    <d v="1899-12-30T19:11:00"/>
    <x v="2"/>
    <n v="96.96"/>
    <n v="4.7619047620000003"/>
    <n v="4.8479999999999999"/>
    <x v="42"/>
  </r>
  <r>
    <s v="191-29-0321"/>
    <s v="B"/>
    <x v="2"/>
    <x v="0"/>
    <s v="Female"/>
    <x v="5"/>
    <n v="19.77"/>
    <n v="10"/>
    <n v="9.8849999999999998"/>
    <n v="207.58500000000001"/>
    <x v="33"/>
    <d v="1899-12-30T18:57:00"/>
    <x v="2"/>
    <n v="197.7"/>
    <n v="4.7619047620000003"/>
    <n v="9.8849999999999998"/>
    <x v="59"/>
  </r>
  <r>
    <s v="729-06-2010"/>
    <s v="B"/>
    <x v="2"/>
    <x v="0"/>
    <s v="Male"/>
    <x v="0"/>
    <n v="80.47"/>
    <n v="9"/>
    <n v="36.211500000000001"/>
    <n v="760.44150000000002"/>
    <x v="47"/>
    <d v="1899-12-30T11:18:00"/>
    <x v="1"/>
    <n v="724.23"/>
    <n v="4.7619047620000003"/>
    <n v="36.211500000000001"/>
    <x v="51"/>
  </r>
  <r>
    <s v="640-48-5028"/>
    <s v="B"/>
    <x v="2"/>
    <x v="0"/>
    <s v="Female"/>
    <x v="2"/>
    <n v="88.39"/>
    <n v="9"/>
    <n v="39.775500000000001"/>
    <n v="835.28549999999996"/>
    <x v="22"/>
    <d v="1899-12-30T12:40:00"/>
    <x v="1"/>
    <n v="795.51"/>
    <n v="4.7619047620000003"/>
    <n v="39.775500000000001"/>
    <x v="31"/>
  </r>
  <r>
    <s v="186-79-9562"/>
    <s v="B"/>
    <x v="2"/>
    <x v="1"/>
    <s v="Male"/>
    <x v="0"/>
    <n v="71.77"/>
    <n v="7"/>
    <n v="25.119499999999999"/>
    <n v="527.5095"/>
    <x v="14"/>
    <d v="1899-12-30T14:06:00"/>
    <x v="1"/>
    <n v="502.39"/>
    <n v="4.7619047620000003"/>
    <n v="25.119499999999999"/>
    <x v="60"/>
  </r>
  <r>
    <s v="834-45-5519"/>
    <s v="B"/>
    <x v="2"/>
    <x v="1"/>
    <s v="Female"/>
    <x v="1"/>
    <n v="43"/>
    <n v="4"/>
    <n v="8.6"/>
    <n v="180.6"/>
    <x v="82"/>
    <d v="1899-12-30T20:48:00"/>
    <x v="0"/>
    <n v="172"/>
    <n v="4.7619047620000003"/>
    <n v="8.6"/>
    <x v="29"/>
  </r>
  <r>
    <s v="162-65-8559"/>
    <s v="C"/>
    <x v="1"/>
    <x v="0"/>
    <s v="Male"/>
    <x v="4"/>
    <n v="68.98"/>
    <n v="1"/>
    <n v="3.4489999999999998"/>
    <n v="72.429000000000002"/>
    <x v="18"/>
    <d v="1899-12-30T20:13:00"/>
    <x v="1"/>
    <n v="68.98"/>
    <n v="4.7619047620000003"/>
    <n v="3.4489999999999998"/>
    <x v="19"/>
  </r>
  <r>
    <s v="760-27-5490"/>
    <s v="C"/>
    <x v="1"/>
    <x v="1"/>
    <s v="Male"/>
    <x v="5"/>
    <n v="15.62"/>
    <n v="8"/>
    <n v="6.2480000000000002"/>
    <n v="131.208"/>
    <x v="40"/>
    <d v="1899-12-30T20:37:00"/>
    <x v="0"/>
    <n v="124.96"/>
    <n v="4.7619047620000003"/>
    <n v="6.2480000000000002"/>
    <x v="0"/>
  </r>
  <r>
    <s v="445-30-9252"/>
    <s v="A"/>
    <x v="0"/>
    <x v="1"/>
    <s v="Male"/>
    <x v="3"/>
    <n v="25.7"/>
    <n v="3"/>
    <n v="3.855"/>
    <n v="80.954999999999998"/>
    <x v="29"/>
    <d v="1899-12-30T17:59:00"/>
    <x v="0"/>
    <n v="77.099999999999994"/>
    <n v="4.7619047620000003"/>
    <n v="3.855"/>
    <x v="36"/>
  </r>
  <r>
    <s v="786-94-2700"/>
    <s v="A"/>
    <x v="0"/>
    <x v="0"/>
    <s v="Male"/>
    <x v="4"/>
    <n v="80.62"/>
    <n v="6"/>
    <n v="24.186"/>
    <n v="507.90600000000001"/>
    <x v="38"/>
    <d v="1899-12-30T20:18:00"/>
    <x v="1"/>
    <n v="483.72"/>
    <n v="4.7619047620000003"/>
    <n v="24.186"/>
    <x v="0"/>
  </r>
  <r>
    <s v="728-88-7867"/>
    <s v="C"/>
    <x v="1"/>
    <x v="0"/>
    <s v="Female"/>
    <x v="2"/>
    <n v="75.53"/>
    <n v="4"/>
    <n v="15.106"/>
    <n v="317.226"/>
    <x v="35"/>
    <d v="1899-12-30T15:52:00"/>
    <x v="0"/>
    <n v="302.12"/>
    <n v="4.7619047620000003"/>
    <n v="15.106"/>
    <x v="47"/>
  </r>
  <r>
    <s v="183-21-3799"/>
    <s v="C"/>
    <x v="1"/>
    <x v="1"/>
    <s v="Female"/>
    <x v="1"/>
    <n v="77.63"/>
    <n v="9"/>
    <n v="34.933500000000002"/>
    <n v="733.60350000000005"/>
    <x v="88"/>
    <d v="1899-12-30T15:14:00"/>
    <x v="0"/>
    <n v="698.67"/>
    <n v="4.7619047620000003"/>
    <n v="34.933500000000002"/>
    <x v="8"/>
  </r>
  <r>
    <s v="268-20-3585"/>
    <s v="C"/>
    <x v="1"/>
    <x v="1"/>
    <s v="Female"/>
    <x v="0"/>
    <n v="13.85"/>
    <n v="9"/>
    <n v="6.2324999999999999"/>
    <n v="130.88249999999999"/>
    <x v="87"/>
    <d v="1899-12-30T12:50:00"/>
    <x v="0"/>
    <n v="124.65"/>
    <n v="4.7619047620000003"/>
    <n v="6.2324999999999999"/>
    <x v="22"/>
  </r>
  <r>
    <s v="735-32-9839"/>
    <s v="C"/>
    <x v="1"/>
    <x v="0"/>
    <s v="Male"/>
    <x v="5"/>
    <n v="98.7"/>
    <n v="8"/>
    <n v="39.479999999999997"/>
    <n v="829.08"/>
    <x v="82"/>
    <d v="1899-12-30T10:36:00"/>
    <x v="0"/>
    <n v="789.6"/>
    <n v="4.7619047620000003"/>
    <n v="39.479999999999997"/>
    <x v="23"/>
  </r>
  <r>
    <s v="258-92-7466"/>
    <s v="A"/>
    <x v="0"/>
    <x v="1"/>
    <s v="Female"/>
    <x v="0"/>
    <n v="35.68"/>
    <n v="5"/>
    <n v="8.92"/>
    <n v="187.32"/>
    <x v="10"/>
    <d v="1899-12-30T18:33:00"/>
    <x v="2"/>
    <n v="178.4"/>
    <n v="4.7619047620000003"/>
    <n v="8.92"/>
    <x v="37"/>
  </r>
  <r>
    <s v="857-16-3520"/>
    <s v="A"/>
    <x v="0"/>
    <x v="0"/>
    <s v="Female"/>
    <x v="5"/>
    <n v="71.459999999999994"/>
    <n v="7"/>
    <n v="25.010999999999999"/>
    <n v="525.23099999999999"/>
    <x v="61"/>
    <d v="1899-12-30T16:06:00"/>
    <x v="0"/>
    <n v="500.22"/>
    <n v="4.7619047620000003"/>
    <n v="25.010999999999999"/>
    <x v="10"/>
  </r>
  <r>
    <s v="482-17-1179"/>
    <s v="A"/>
    <x v="0"/>
    <x v="0"/>
    <s v="Male"/>
    <x v="1"/>
    <n v="11.94"/>
    <n v="3"/>
    <n v="1.7909999999999999"/>
    <n v="37.610999999999997"/>
    <x v="64"/>
    <d v="1899-12-30T12:47:00"/>
    <x v="2"/>
    <n v="35.82"/>
    <n v="4.7619047620000003"/>
    <n v="1.7909999999999999"/>
    <x v="34"/>
  </r>
  <r>
    <s v="788-21-5741"/>
    <s v="A"/>
    <x v="0"/>
    <x v="1"/>
    <s v="Male"/>
    <x v="5"/>
    <n v="45.38"/>
    <n v="3"/>
    <n v="6.8070000000000004"/>
    <n v="142.947"/>
    <x v="21"/>
    <d v="1899-12-30T13:34:00"/>
    <x v="2"/>
    <n v="136.13999999999999"/>
    <n v="4.7619047620000003"/>
    <n v="6.8070000000000004"/>
    <x v="8"/>
  </r>
  <r>
    <s v="821-14-9046"/>
    <s v="B"/>
    <x v="2"/>
    <x v="0"/>
    <s v="Female"/>
    <x v="5"/>
    <n v="17.48"/>
    <n v="6"/>
    <n v="5.2439999999999998"/>
    <n v="110.124"/>
    <x v="68"/>
    <d v="1899-12-30T15:04:00"/>
    <x v="2"/>
    <n v="104.88"/>
    <n v="4.7619047620000003"/>
    <n v="5.2439999999999998"/>
    <x v="36"/>
  </r>
  <r>
    <s v="418-05-0656"/>
    <s v="B"/>
    <x v="2"/>
    <x v="1"/>
    <s v="Female"/>
    <x v="5"/>
    <n v="25.56"/>
    <n v="7"/>
    <n v="8.9459999999999997"/>
    <n v="187.86600000000001"/>
    <x v="30"/>
    <d v="1899-12-30T20:42:00"/>
    <x v="1"/>
    <n v="178.92"/>
    <n v="4.7619047620000003"/>
    <n v="8.9459999999999997"/>
    <x v="12"/>
  </r>
  <r>
    <s v="678-79-0726"/>
    <s v="C"/>
    <x v="1"/>
    <x v="0"/>
    <s v="Female"/>
    <x v="3"/>
    <n v="90.63"/>
    <n v="9"/>
    <n v="40.783499999999997"/>
    <n v="856.45349999999996"/>
    <x v="68"/>
    <d v="1899-12-30T15:28:00"/>
    <x v="1"/>
    <n v="815.67"/>
    <n v="4.7619047620000003"/>
    <n v="40.783499999999997"/>
    <x v="20"/>
  </r>
  <r>
    <s v="776-68-1096"/>
    <s v="B"/>
    <x v="2"/>
    <x v="1"/>
    <s v="Male"/>
    <x v="2"/>
    <n v="44.12"/>
    <n v="3"/>
    <n v="6.6180000000000003"/>
    <n v="138.97800000000001"/>
    <x v="79"/>
    <d v="1899-12-30T13:45:00"/>
    <x v="2"/>
    <n v="132.36000000000001"/>
    <n v="4.7619047620000003"/>
    <n v="6.6180000000000003"/>
    <x v="30"/>
  </r>
  <r>
    <s v="592-46-1692"/>
    <s v="C"/>
    <x v="1"/>
    <x v="0"/>
    <s v="Female"/>
    <x v="4"/>
    <n v="36.770000000000003"/>
    <n v="7"/>
    <n v="12.8695"/>
    <n v="270.2595"/>
    <x v="83"/>
    <d v="1899-12-30T20:10:00"/>
    <x v="1"/>
    <n v="257.39"/>
    <n v="4.7619047620000003"/>
    <n v="12.8695"/>
    <x v="2"/>
  </r>
  <r>
    <s v="434-35-9162"/>
    <s v="B"/>
    <x v="2"/>
    <x v="0"/>
    <s v="Male"/>
    <x v="4"/>
    <n v="23.34"/>
    <n v="4"/>
    <n v="4.6680000000000001"/>
    <n v="98.028000000000006"/>
    <x v="87"/>
    <d v="1899-12-30T18:53:00"/>
    <x v="0"/>
    <n v="93.36"/>
    <n v="4.7619047620000003"/>
    <n v="4.6680000000000001"/>
    <x v="2"/>
  </r>
  <r>
    <s v="149-14-0304"/>
    <s v="C"/>
    <x v="1"/>
    <x v="0"/>
    <s v="Female"/>
    <x v="0"/>
    <n v="28.5"/>
    <n v="8"/>
    <n v="11.4"/>
    <n v="239.4"/>
    <x v="10"/>
    <d v="1899-12-30T14:24:00"/>
    <x v="1"/>
    <n v="228"/>
    <n v="4.7619047620000003"/>
    <n v="11.4"/>
    <x v="37"/>
  </r>
  <r>
    <s v="442-44-6497"/>
    <s v="C"/>
    <x v="1"/>
    <x v="0"/>
    <s v="Male"/>
    <x v="2"/>
    <n v="55.57"/>
    <n v="3"/>
    <n v="8.3354999999999997"/>
    <n v="175.0455"/>
    <x v="66"/>
    <d v="1899-12-30T11:42:00"/>
    <x v="2"/>
    <n v="166.71"/>
    <n v="4.7619047620000003"/>
    <n v="8.3354999999999997"/>
    <x v="9"/>
  </r>
  <r>
    <s v="174-64-0215"/>
    <s v="B"/>
    <x v="2"/>
    <x v="1"/>
    <s v="Male"/>
    <x v="3"/>
    <n v="69.739999999999995"/>
    <n v="10"/>
    <n v="34.869999999999997"/>
    <n v="732.27"/>
    <x v="19"/>
    <d v="1899-12-30T17:49:00"/>
    <x v="2"/>
    <n v="697.4"/>
    <n v="4.7619047620000003"/>
    <n v="34.869999999999997"/>
    <x v="60"/>
  </r>
  <r>
    <s v="210-74-9613"/>
    <s v="C"/>
    <x v="1"/>
    <x v="1"/>
    <s v="Male"/>
    <x v="5"/>
    <n v="97.26"/>
    <n v="4"/>
    <n v="19.452000000000002"/>
    <n v="408.49200000000002"/>
    <x v="32"/>
    <d v="1899-12-30T15:33:00"/>
    <x v="0"/>
    <n v="389.04"/>
    <n v="4.7619047620000003"/>
    <n v="19.452000000000002"/>
    <x v="11"/>
  </r>
  <r>
    <s v="299-29-0180"/>
    <s v="B"/>
    <x v="2"/>
    <x v="0"/>
    <s v="Female"/>
    <x v="2"/>
    <n v="52.18"/>
    <n v="7"/>
    <n v="18.263000000000002"/>
    <n v="383.52300000000002"/>
    <x v="11"/>
    <d v="1899-12-30T10:54:00"/>
    <x v="1"/>
    <n v="365.26"/>
    <n v="4.7619047620000003"/>
    <n v="18.263000000000002"/>
    <x v="39"/>
  </r>
  <r>
    <s v="247-11-2470"/>
    <s v="A"/>
    <x v="0"/>
    <x v="0"/>
    <s v="Female"/>
    <x v="5"/>
    <n v="22.32"/>
    <n v="4"/>
    <n v="4.4640000000000004"/>
    <n v="93.744"/>
    <x v="59"/>
    <d v="1899-12-30T16:23:00"/>
    <x v="2"/>
    <n v="89.28"/>
    <n v="4.7619047620000003"/>
    <n v="4.4640000000000004"/>
    <x v="18"/>
  </r>
  <r>
    <s v="635-28-5728"/>
    <s v="A"/>
    <x v="0"/>
    <x v="1"/>
    <s v="Male"/>
    <x v="0"/>
    <n v="56"/>
    <n v="3"/>
    <n v="8.4"/>
    <n v="176.4"/>
    <x v="38"/>
    <d v="1899-12-30T19:33:00"/>
    <x v="0"/>
    <n v="168"/>
    <n v="4.7619047620000003"/>
    <n v="8.4"/>
    <x v="19"/>
  </r>
  <r>
    <s v="756-49-0168"/>
    <s v="A"/>
    <x v="0"/>
    <x v="0"/>
    <s v="Male"/>
    <x v="5"/>
    <n v="19.7"/>
    <n v="1"/>
    <n v="0.98499999999999999"/>
    <n v="20.684999999999999"/>
    <x v="4"/>
    <d v="1899-12-30T11:39:00"/>
    <x v="0"/>
    <n v="19.7"/>
    <n v="4.7619047620000003"/>
    <n v="0.98499999999999999"/>
    <x v="33"/>
  </r>
  <r>
    <s v="438-23-1242"/>
    <s v="B"/>
    <x v="2"/>
    <x v="1"/>
    <s v="Male"/>
    <x v="1"/>
    <n v="75.88"/>
    <n v="7"/>
    <n v="26.558"/>
    <n v="557.71799999999996"/>
    <x v="46"/>
    <d v="1899-12-30T10:38:00"/>
    <x v="0"/>
    <n v="531.16"/>
    <n v="4.7619047620000003"/>
    <n v="26.558"/>
    <x v="60"/>
  </r>
  <r>
    <s v="238-45-6950"/>
    <s v="B"/>
    <x v="2"/>
    <x v="0"/>
    <s v="Male"/>
    <x v="4"/>
    <n v="53.72"/>
    <n v="1"/>
    <n v="2.6859999999999999"/>
    <n v="56.405999999999999"/>
    <x v="59"/>
    <d v="1899-12-30T20:03:00"/>
    <x v="0"/>
    <n v="53.72"/>
    <n v="4.7619047620000003"/>
    <n v="2.6859999999999999"/>
    <x v="41"/>
  </r>
  <r>
    <s v="607-65-2441"/>
    <s v="C"/>
    <x v="1"/>
    <x v="0"/>
    <s v="Male"/>
    <x v="0"/>
    <n v="81.95"/>
    <n v="10"/>
    <n v="40.975000000000001"/>
    <n v="860.47500000000002"/>
    <x v="24"/>
    <d v="1899-12-30T12:39:00"/>
    <x v="2"/>
    <n v="819.5"/>
    <n v="4.7619047620000003"/>
    <n v="40.975000000000001"/>
    <x v="22"/>
  </r>
  <r>
    <s v="386-27-7606"/>
    <s v="C"/>
    <x v="1"/>
    <x v="0"/>
    <s v="Female"/>
    <x v="2"/>
    <n v="81.2"/>
    <n v="7"/>
    <n v="28.42"/>
    <n v="596.82000000000005"/>
    <x v="28"/>
    <d v="1899-12-30T15:59:00"/>
    <x v="2"/>
    <n v="568.4"/>
    <n v="4.7619047620000003"/>
    <n v="28.42"/>
    <x v="34"/>
  </r>
  <r>
    <s v="137-63-5492"/>
    <s v="C"/>
    <x v="1"/>
    <x v="1"/>
    <s v="Male"/>
    <x v="1"/>
    <n v="58.76"/>
    <n v="10"/>
    <n v="29.38"/>
    <n v="616.98"/>
    <x v="71"/>
    <d v="1899-12-30T14:26:00"/>
    <x v="0"/>
    <n v="587.6"/>
    <n v="4.7619047620000003"/>
    <n v="29.38"/>
    <x v="54"/>
  </r>
  <r>
    <s v="197-77-7132"/>
    <s v="B"/>
    <x v="2"/>
    <x v="0"/>
    <s v="Male"/>
    <x v="1"/>
    <n v="91.56"/>
    <n v="8"/>
    <n v="36.624000000000002"/>
    <n v="769.10400000000004"/>
    <x v="52"/>
    <d v="1899-12-30T18:22:00"/>
    <x v="0"/>
    <n v="732.48"/>
    <n v="4.7619047620000003"/>
    <n v="36.624000000000002"/>
    <x v="22"/>
  </r>
  <r>
    <s v="805-86-0265"/>
    <s v="A"/>
    <x v="0"/>
    <x v="1"/>
    <s v="Male"/>
    <x v="2"/>
    <n v="93.96"/>
    <n v="9"/>
    <n v="42.281999999999996"/>
    <n v="887.92200000000003"/>
    <x v="80"/>
    <d v="1899-12-30T11:32:00"/>
    <x v="1"/>
    <n v="845.64"/>
    <n v="4.7619047620000003"/>
    <n v="42.281999999999996"/>
    <x v="57"/>
  </r>
  <r>
    <s v="733-29-1227"/>
    <s v="C"/>
    <x v="1"/>
    <x v="1"/>
    <s v="Male"/>
    <x v="2"/>
    <n v="55.61"/>
    <n v="7"/>
    <n v="19.4635"/>
    <n v="408.73349999999999"/>
    <x v="28"/>
    <d v="1899-12-30T12:41:00"/>
    <x v="1"/>
    <n v="389.27"/>
    <n v="4.7619047620000003"/>
    <n v="19.4635"/>
    <x v="23"/>
  </r>
  <r>
    <s v="451-73-2711"/>
    <s v="C"/>
    <x v="1"/>
    <x v="1"/>
    <s v="Male"/>
    <x v="4"/>
    <n v="84.83"/>
    <n v="1"/>
    <n v="4.2415000000000003"/>
    <n v="89.0715"/>
    <x v="78"/>
    <d v="1899-12-30T15:20:00"/>
    <x v="0"/>
    <n v="84.83"/>
    <n v="4.7619047620000003"/>
    <n v="4.2415000000000003"/>
    <x v="55"/>
  </r>
  <r>
    <s v="373-14-0504"/>
    <s v="A"/>
    <x v="0"/>
    <x v="0"/>
    <s v="Female"/>
    <x v="3"/>
    <n v="71.63"/>
    <n v="2"/>
    <n v="7.1630000000000003"/>
    <n v="150.423"/>
    <x v="12"/>
    <d v="1899-12-30T14:33:00"/>
    <x v="0"/>
    <n v="143.26"/>
    <n v="4.7619047620000003"/>
    <n v="7.1630000000000003"/>
    <x v="55"/>
  </r>
  <r>
    <s v="546-80-2899"/>
    <s v="A"/>
    <x v="0"/>
    <x v="0"/>
    <s v="Male"/>
    <x v="2"/>
    <n v="37.69"/>
    <n v="2"/>
    <n v="3.7690000000000001"/>
    <n v="79.149000000000001"/>
    <x v="9"/>
    <d v="1899-12-30T15:29:00"/>
    <x v="0"/>
    <n v="75.38"/>
    <n v="4.7619047620000003"/>
    <n v="3.7690000000000001"/>
    <x v="33"/>
  </r>
  <r>
    <s v="345-68-9016"/>
    <s v="C"/>
    <x v="1"/>
    <x v="0"/>
    <s v="Female"/>
    <x v="3"/>
    <n v="31.67"/>
    <n v="8"/>
    <n v="12.667999999999999"/>
    <n v="266.02800000000002"/>
    <x v="56"/>
    <d v="1899-12-30T16:19:00"/>
    <x v="2"/>
    <n v="253.36"/>
    <n v="4.7619047620000003"/>
    <n v="12.667999999999999"/>
    <x v="32"/>
  </r>
  <r>
    <s v="390-17-5806"/>
    <s v="C"/>
    <x v="1"/>
    <x v="0"/>
    <s v="Female"/>
    <x v="4"/>
    <n v="38.42"/>
    <n v="1"/>
    <n v="1.921"/>
    <n v="40.341000000000001"/>
    <x v="30"/>
    <d v="1899-12-30T16:33:00"/>
    <x v="1"/>
    <n v="38.42"/>
    <n v="4.7619047620000003"/>
    <n v="1.921"/>
    <x v="17"/>
  </r>
  <r>
    <s v="457-13-1708"/>
    <s v="B"/>
    <x v="2"/>
    <x v="0"/>
    <s v="Male"/>
    <x v="5"/>
    <n v="65.23"/>
    <n v="10"/>
    <n v="32.615000000000002"/>
    <n v="684.91499999999996"/>
    <x v="66"/>
    <d v="1899-12-30T19:07:00"/>
    <x v="2"/>
    <n v="652.29999999999995"/>
    <n v="4.7619047620000003"/>
    <n v="32.615000000000002"/>
    <x v="53"/>
  </r>
  <r>
    <s v="664-14-2882"/>
    <s v="C"/>
    <x v="1"/>
    <x v="0"/>
    <s v="Female"/>
    <x v="2"/>
    <n v="10.53"/>
    <n v="5"/>
    <n v="2.6324999999999998"/>
    <n v="55.282499999999999"/>
    <x v="74"/>
    <d v="1899-12-30T14:43:00"/>
    <x v="2"/>
    <n v="52.65"/>
    <n v="4.7619047620000003"/>
    <n v="2.6324999999999998"/>
    <x v="6"/>
  </r>
  <r>
    <s v="487-79-6868"/>
    <s v="B"/>
    <x v="2"/>
    <x v="0"/>
    <s v="Female"/>
    <x v="2"/>
    <n v="12.29"/>
    <n v="9"/>
    <n v="5.5305"/>
    <n v="116.1405"/>
    <x v="58"/>
    <d v="1899-12-30T19:28:00"/>
    <x v="2"/>
    <n v="110.61"/>
    <n v="4.7619047620000003"/>
    <n v="5.5305"/>
    <x v="7"/>
  </r>
  <r>
    <s v="314-23-4520"/>
    <s v="C"/>
    <x v="1"/>
    <x v="0"/>
    <s v="Male"/>
    <x v="0"/>
    <n v="81.23"/>
    <n v="7"/>
    <n v="28.430499999999999"/>
    <n v="597.04049999999995"/>
    <x v="15"/>
    <d v="1899-12-30T20:44:00"/>
    <x v="1"/>
    <n v="568.61"/>
    <n v="4.7619047620000003"/>
    <n v="28.430499999999999"/>
    <x v="54"/>
  </r>
  <r>
    <s v="210-30-7976"/>
    <s v="B"/>
    <x v="2"/>
    <x v="0"/>
    <s v="Female"/>
    <x v="5"/>
    <n v="22.32"/>
    <n v="4"/>
    <n v="4.4640000000000004"/>
    <n v="93.744"/>
    <x v="86"/>
    <d v="1899-12-30T11:16:00"/>
    <x v="0"/>
    <n v="89.28"/>
    <n v="4.7619047620000003"/>
    <n v="4.4640000000000004"/>
    <x v="5"/>
  </r>
  <r>
    <s v="585-86-8361"/>
    <s v="A"/>
    <x v="0"/>
    <x v="1"/>
    <s v="Female"/>
    <x v="4"/>
    <n v="27.28"/>
    <n v="5"/>
    <n v="6.82"/>
    <n v="143.22"/>
    <x v="36"/>
    <d v="1899-12-30T10:31:00"/>
    <x v="2"/>
    <n v="136.4"/>
    <n v="4.7619047620000003"/>
    <n v="6.82"/>
    <x v="17"/>
  </r>
  <r>
    <s v="807-14-7833"/>
    <s v="A"/>
    <x v="0"/>
    <x v="0"/>
    <s v="Female"/>
    <x v="1"/>
    <n v="17.420000000000002"/>
    <n v="10"/>
    <n v="8.7100000000000009"/>
    <n v="182.91"/>
    <x v="70"/>
    <d v="1899-12-30T12:30:00"/>
    <x v="0"/>
    <n v="174.2"/>
    <n v="4.7619047620000003"/>
    <n v="8.7100000000000009"/>
    <x v="27"/>
  </r>
  <r>
    <s v="775-72-1988"/>
    <s v="B"/>
    <x v="2"/>
    <x v="1"/>
    <s v="Male"/>
    <x v="2"/>
    <n v="73.28"/>
    <n v="5"/>
    <n v="18.32"/>
    <n v="384.72"/>
    <x v="46"/>
    <d v="1899-12-30T15:05:00"/>
    <x v="0"/>
    <n v="366.4"/>
    <n v="4.7619047620000003"/>
    <n v="18.32"/>
    <x v="3"/>
  </r>
  <r>
    <s v="288-38-3758"/>
    <s v="C"/>
    <x v="1"/>
    <x v="0"/>
    <s v="Female"/>
    <x v="5"/>
    <n v="84.87"/>
    <n v="3"/>
    <n v="12.730499999999999"/>
    <n v="267.34050000000002"/>
    <x v="25"/>
    <d v="1899-12-30T18:30:00"/>
    <x v="0"/>
    <n v="254.61"/>
    <n v="4.7619047620000003"/>
    <n v="12.730499999999999"/>
    <x v="2"/>
  </r>
  <r>
    <s v="652-43-6591"/>
    <s v="A"/>
    <x v="0"/>
    <x v="1"/>
    <s v="Female"/>
    <x v="5"/>
    <n v="97.29"/>
    <n v="8"/>
    <n v="38.915999999999997"/>
    <n v="817.23599999999999"/>
    <x v="11"/>
    <d v="1899-12-30T13:18:00"/>
    <x v="2"/>
    <n v="778.32"/>
    <n v="4.7619047620000003"/>
    <n v="38.915999999999997"/>
    <x v="56"/>
  </r>
  <r>
    <s v="785-96-0615"/>
    <s v="B"/>
    <x v="2"/>
    <x v="0"/>
    <s v="Female"/>
    <x v="1"/>
    <n v="35.74"/>
    <n v="8"/>
    <n v="14.295999999999999"/>
    <n v="300.21600000000001"/>
    <x v="21"/>
    <d v="1899-12-30T15:28:00"/>
    <x v="0"/>
    <n v="285.92"/>
    <n v="4.7619047620000003"/>
    <n v="14.295999999999999"/>
    <x v="49"/>
  </r>
  <r>
    <s v="406-46-7107"/>
    <s v="A"/>
    <x v="0"/>
    <x v="1"/>
    <s v="Female"/>
    <x v="2"/>
    <n v="96.52"/>
    <n v="6"/>
    <n v="28.956"/>
    <n v="608.07600000000002"/>
    <x v="83"/>
    <d v="1899-12-30T11:52:00"/>
    <x v="1"/>
    <n v="579.12"/>
    <n v="4.7619047620000003"/>
    <n v="28.956"/>
    <x v="10"/>
  </r>
  <r>
    <s v="250-17-5703"/>
    <s v="A"/>
    <x v="0"/>
    <x v="0"/>
    <s v="Male"/>
    <x v="4"/>
    <n v="18.850000000000001"/>
    <n v="10"/>
    <n v="9.4250000000000007"/>
    <n v="197.92500000000001"/>
    <x v="33"/>
    <d v="1899-12-30T18:24:00"/>
    <x v="0"/>
    <n v="188.5"/>
    <n v="4.7619047620000003"/>
    <n v="9.4250000000000007"/>
    <x v="32"/>
  </r>
  <r>
    <s v="156-95-3964"/>
    <s v="A"/>
    <x v="0"/>
    <x v="1"/>
    <s v="Female"/>
    <x v="4"/>
    <n v="55.39"/>
    <n v="4"/>
    <n v="11.077999999999999"/>
    <n v="232.63800000000001"/>
    <x v="5"/>
    <d v="1899-12-30T15:19:00"/>
    <x v="0"/>
    <n v="221.56"/>
    <n v="4.7619047620000003"/>
    <n v="11.077999999999999"/>
    <x v="7"/>
  </r>
  <r>
    <s v="842-40-8179"/>
    <s v="B"/>
    <x v="2"/>
    <x v="0"/>
    <s v="Female"/>
    <x v="4"/>
    <n v="77.2"/>
    <n v="10"/>
    <n v="38.6"/>
    <n v="810.6"/>
    <x v="48"/>
    <d v="1899-12-30T10:38:00"/>
    <x v="2"/>
    <n v="772"/>
    <n v="4.7619047620000003"/>
    <n v="38.6"/>
    <x v="32"/>
  </r>
  <r>
    <s v="525-09-8450"/>
    <s v="B"/>
    <x v="2"/>
    <x v="1"/>
    <s v="Male"/>
    <x v="1"/>
    <n v="72.13"/>
    <n v="10"/>
    <n v="36.064999999999998"/>
    <n v="757.36500000000001"/>
    <x v="82"/>
    <d v="1899-12-30T15:12:00"/>
    <x v="2"/>
    <n v="721.3"/>
    <n v="4.7619047620000003"/>
    <n v="36.064999999999998"/>
    <x v="50"/>
  </r>
  <r>
    <s v="410-67-1709"/>
    <s v="A"/>
    <x v="0"/>
    <x v="0"/>
    <s v="Female"/>
    <x v="5"/>
    <n v="63.88"/>
    <n v="8"/>
    <n v="25.552"/>
    <n v="536.59199999999998"/>
    <x v="40"/>
    <d v="1899-12-30T17:48:00"/>
    <x v="0"/>
    <n v="511.04"/>
    <n v="4.7619047620000003"/>
    <n v="25.552"/>
    <x v="21"/>
  </r>
  <r>
    <s v="587-73-4862"/>
    <s v="A"/>
    <x v="0"/>
    <x v="0"/>
    <s v="Female"/>
    <x v="0"/>
    <n v="10.69"/>
    <n v="5"/>
    <n v="2.6724999999999999"/>
    <n v="56.122500000000002"/>
    <x v="58"/>
    <d v="1899-12-30T11:07:00"/>
    <x v="0"/>
    <n v="53.45"/>
    <n v="4.7619047620000003"/>
    <n v="2.6724999999999999"/>
    <x v="29"/>
  </r>
  <r>
    <s v="787-87-2010"/>
    <s v="A"/>
    <x v="0"/>
    <x v="0"/>
    <s v="Male"/>
    <x v="0"/>
    <n v="55.5"/>
    <n v="4"/>
    <n v="11.1"/>
    <n v="233.1"/>
    <x v="40"/>
    <d v="1899-12-30T15:48:00"/>
    <x v="2"/>
    <n v="222"/>
    <n v="4.7619047620000003"/>
    <n v="11.1"/>
    <x v="37"/>
  </r>
  <r>
    <s v="593-14-4239"/>
    <s v="B"/>
    <x v="2"/>
    <x v="1"/>
    <s v="Female"/>
    <x v="2"/>
    <n v="95.46"/>
    <n v="8"/>
    <n v="38.183999999999997"/>
    <n v="801.86400000000003"/>
    <x v="19"/>
    <d v="1899-12-30T19:40:00"/>
    <x v="0"/>
    <n v="763.68"/>
    <n v="4.7619047620000003"/>
    <n v="38.183999999999997"/>
    <x v="28"/>
  </r>
  <r>
    <s v="801-88-0346"/>
    <s v="C"/>
    <x v="1"/>
    <x v="1"/>
    <s v="Female"/>
    <x v="5"/>
    <n v="76.06"/>
    <n v="3"/>
    <n v="11.409000000000001"/>
    <n v="239.589"/>
    <x v="0"/>
    <d v="1899-12-30T20:30:00"/>
    <x v="2"/>
    <n v="228.18"/>
    <n v="4.7619047620000003"/>
    <n v="11.409000000000001"/>
    <x v="57"/>
  </r>
  <r>
    <s v="388-76-2555"/>
    <s v="B"/>
    <x v="2"/>
    <x v="1"/>
    <s v="Male"/>
    <x v="3"/>
    <n v="13.69"/>
    <n v="6"/>
    <n v="4.1070000000000002"/>
    <n v="86.247"/>
    <x v="77"/>
    <d v="1899-12-30T13:59:00"/>
    <x v="1"/>
    <n v="82.14"/>
    <n v="4.7619047620000003"/>
    <n v="4.1070000000000002"/>
    <x v="31"/>
  </r>
  <r>
    <s v="711-31-1234"/>
    <s v="B"/>
    <x v="2"/>
    <x v="1"/>
    <s v="Female"/>
    <x v="1"/>
    <n v="95.64"/>
    <n v="4"/>
    <n v="19.128"/>
    <n v="401.68799999999999"/>
    <x v="32"/>
    <d v="1899-12-30T18:51:00"/>
    <x v="1"/>
    <n v="382.56"/>
    <n v="4.7619047620000003"/>
    <n v="19.128"/>
    <x v="30"/>
  </r>
  <r>
    <s v="886-54-6089"/>
    <s v="A"/>
    <x v="0"/>
    <x v="1"/>
    <s v="Female"/>
    <x v="2"/>
    <n v="11.43"/>
    <n v="6"/>
    <n v="3.4289999999999998"/>
    <n v="72.009"/>
    <x v="15"/>
    <d v="1899-12-30T17:24:00"/>
    <x v="1"/>
    <n v="68.58"/>
    <n v="4.7619047620000003"/>
    <n v="3.4289999999999998"/>
    <x v="25"/>
  </r>
  <r>
    <s v="707-32-7409"/>
    <s v="B"/>
    <x v="2"/>
    <x v="0"/>
    <s v="Female"/>
    <x v="3"/>
    <n v="95.54"/>
    <n v="4"/>
    <n v="19.108000000000001"/>
    <n v="401.26799999999997"/>
    <x v="84"/>
    <d v="1899-12-30T11:58:00"/>
    <x v="0"/>
    <n v="382.16"/>
    <n v="4.7619047620000003"/>
    <n v="19.108000000000001"/>
    <x v="10"/>
  </r>
  <r>
    <s v="759-98-4285"/>
    <s v="C"/>
    <x v="1"/>
    <x v="0"/>
    <s v="Female"/>
    <x v="0"/>
    <n v="85.87"/>
    <n v="7"/>
    <n v="30.054500000000001"/>
    <n v="631.14449999999999"/>
    <x v="33"/>
    <d v="1899-12-30T19:01:00"/>
    <x v="2"/>
    <n v="601.09"/>
    <n v="4.7619047620000003"/>
    <n v="30.054500000000001"/>
    <x v="7"/>
  </r>
  <r>
    <s v="201-63-8275"/>
    <s v="C"/>
    <x v="1"/>
    <x v="0"/>
    <s v="Female"/>
    <x v="3"/>
    <n v="67.989999999999995"/>
    <n v="7"/>
    <n v="23.796500000000002"/>
    <n v="499.72649999999999"/>
    <x v="21"/>
    <d v="1899-12-30T16:50:00"/>
    <x v="0"/>
    <n v="475.93"/>
    <n v="4.7619047620000003"/>
    <n v="23.796500000000002"/>
    <x v="14"/>
  </r>
  <r>
    <s v="471-06-8611"/>
    <s v="C"/>
    <x v="1"/>
    <x v="1"/>
    <s v="Female"/>
    <x v="4"/>
    <n v="52.42"/>
    <n v="1"/>
    <n v="2.621"/>
    <n v="55.040999999999997"/>
    <x v="10"/>
    <d v="1899-12-30T10:22:00"/>
    <x v="2"/>
    <n v="52.42"/>
    <n v="4.7619047620000003"/>
    <n v="2.621"/>
    <x v="31"/>
  </r>
  <r>
    <s v="200-16-5952"/>
    <s v="C"/>
    <x v="1"/>
    <x v="0"/>
    <s v="Male"/>
    <x v="4"/>
    <n v="65.650000000000006"/>
    <n v="2"/>
    <n v="6.5650000000000004"/>
    <n v="137.86500000000001"/>
    <x v="29"/>
    <d v="1899-12-30T16:46:00"/>
    <x v="1"/>
    <n v="131.30000000000001"/>
    <n v="4.7619047620000003"/>
    <n v="6.5650000000000004"/>
    <x v="22"/>
  </r>
  <r>
    <s v="120-54-2248"/>
    <s v="B"/>
    <x v="2"/>
    <x v="1"/>
    <s v="Female"/>
    <x v="4"/>
    <n v="28.86"/>
    <n v="5"/>
    <n v="7.2149999999999999"/>
    <n v="151.51499999999999"/>
    <x v="49"/>
    <d v="1899-12-30T18:08:00"/>
    <x v="2"/>
    <n v="144.30000000000001"/>
    <n v="4.7619047620000003"/>
    <n v="7.2149999999999999"/>
    <x v="7"/>
  </r>
  <r>
    <s v="102-77-2261"/>
    <s v="C"/>
    <x v="1"/>
    <x v="0"/>
    <s v="Male"/>
    <x v="0"/>
    <n v="65.31"/>
    <n v="7"/>
    <n v="22.858499999999999"/>
    <n v="480.02850000000001"/>
    <x v="19"/>
    <d v="1899-12-30T18:02:00"/>
    <x v="2"/>
    <n v="457.17"/>
    <n v="4.7619047620000003"/>
    <n v="22.858499999999999"/>
    <x v="50"/>
  </r>
  <r>
    <s v="875-31-8302"/>
    <s v="B"/>
    <x v="2"/>
    <x v="1"/>
    <s v="Male"/>
    <x v="3"/>
    <n v="93.38"/>
    <n v="1"/>
    <n v="4.6689999999999996"/>
    <n v="98.049000000000007"/>
    <x v="75"/>
    <d v="1899-12-30T13:07:00"/>
    <x v="1"/>
    <n v="93.38"/>
    <n v="4.7619047620000003"/>
    <n v="4.6689999999999996"/>
    <x v="1"/>
  </r>
  <r>
    <s v="102-06-2002"/>
    <s v="C"/>
    <x v="1"/>
    <x v="0"/>
    <s v="Male"/>
    <x v="3"/>
    <n v="25.25"/>
    <n v="5"/>
    <n v="6.3125"/>
    <n v="132.5625"/>
    <x v="80"/>
    <d v="1899-12-30T17:52:00"/>
    <x v="1"/>
    <n v="126.25"/>
    <n v="4.7619047620000003"/>
    <n v="6.3125"/>
    <x v="36"/>
  </r>
  <r>
    <s v="457-94-0464"/>
    <s v="B"/>
    <x v="2"/>
    <x v="0"/>
    <s v="Male"/>
    <x v="1"/>
    <n v="87.87"/>
    <n v="9"/>
    <n v="39.541499999999999"/>
    <n v="830.37149999999997"/>
    <x v="82"/>
    <d v="1899-12-30T20:32:00"/>
    <x v="0"/>
    <n v="790.83"/>
    <n v="4.7619047620000003"/>
    <n v="39.541499999999999"/>
    <x v="32"/>
  </r>
  <r>
    <s v="629-42-4133"/>
    <s v="C"/>
    <x v="1"/>
    <x v="1"/>
    <s v="Male"/>
    <x v="0"/>
    <n v="21.8"/>
    <n v="8"/>
    <n v="8.7200000000000006"/>
    <n v="183.12"/>
    <x v="88"/>
    <d v="1899-12-30T19:24:00"/>
    <x v="1"/>
    <n v="174.4"/>
    <n v="4.7619047620000003"/>
    <n v="8.7200000000000006"/>
    <x v="47"/>
  </r>
  <r>
    <s v="534-53-3526"/>
    <s v="A"/>
    <x v="0"/>
    <x v="1"/>
    <s v="Female"/>
    <x v="3"/>
    <n v="94.76"/>
    <n v="4"/>
    <n v="18.952000000000002"/>
    <n v="397.99200000000002"/>
    <x v="48"/>
    <d v="1899-12-30T16:06:00"/>
    <x v="0"/>
    <n v="379.04"/>
    <n v="4.7619047620000003"/>
    <n v="18.952000000000002"/>
    <x v="52"/>
  </r>
  <r>
    <s v="307-04-2070"/>
    <s v="A"/>
    <x v="0"/>
    <x v="0"/>
    <s v="Female"/>
    <x v="5"/>
    <n v="30.62"/>
    <n v="1"/>
    <n v="1.5309999999999999"/>
    <n v="32.151000000000003"/>
    <x v="63"/>
    <d v="1899-12-30T14:14:00"/>
    <x v="2"/>
    <n v="30.62"/>
    <n v="4.7619047620000003"/>
    <n v="1.5309999999999999"/>
    <x v="5"/>
  </r>
  <r>
    <s v="468-99-7231"/>
    <s v="C"/>
    <x v="1"/>
    <x v="1"/>
    <s v="Female"/>
    <x v="2"/>
    <n v="44.01"/>
    <n v="8"/>
    <n v="17.603999999999999"/>
    <n v="369.68400000000003"/>
    <x v="2"/>
    <d v="1899-12-30T17:36:00"/>
    <x v="1"/>
    <n v="352.08"/>
    <n v="4.7619047620000003"/>
    <n v="17.603999999999999"/>
    <x v="55"/>
  </r>
  <r>
    <s v="516-77-6464"/>
    <s v="C"/>
    <x v="1"/>
    <x v="0"/>
    <s v="Female"/>
    <x v="0"/>
    <n v="10.16"/>
    <n v="5"/>
    <n v="2.54"/>
    <n v="53.34"/>
    <x v="7"/>
    <d v="1899-12-30T13:08:00"/>
    <x v="0"/>
    <n v="50.8"/>
    <n v="4.7619047620000003"/>
    <n v="2.54"/>
    <x v="5"/>
  </r>
  <r>
    <s v="404-91-5964"/>
    <s v="A"/>
    <x v="0"/>
    <x v="1"/>
    <s v="Male"/>
    <x v="1"/>
    <n v="74.58"/>
    <n v="7"/>
    <n v="26.103000000000002"/>
    <n v="548.16300000000001"/>
    <x v="87"/>
    <d v="1899-12-30T16:09:00"/>
    <x v="2"/>
    <n v="522.05999999999995"/>
    <n v="4.7619047620000003"/>
    <n v="26.103000000000002"/>
    <x v="54"/>
  </r>
  <r>
    <s v="886-77-9084"/>
    <s v="C"/>
    <x v="1"/>
    <x v="1"/>
    <s v="Male"/>
    <x v="1"/>
    <n v="71.89"/>
    <n v="8"/>
    <n v="28.756"/>
    <n v="603.87599999999998"/>
    <x v="88"/>
    <d v="1899-12-30T11:33:00"/>
    <x v="0"/>
    <n v="575.12"/>
    <n v="4.7619047620000003"/>
    <n v="28.756"/>
    <x v="46"/>
  </r>
  <r>
    <s v="790-38-4466"/>
    <s v="C"/>
    <x v="1"/>
    <x v="1"/>
    <s v="Female"/>
    <x v="0"/>
    <n v="10.99"/>
    <n v="5"/>
    <n v="2.7475000000000001"/>
    <n v="57.697499999999998"/>
    <x v="54"/>
    <d v="1899-12-30T10:18:00"/>
    <x v="2"/>
    <n v="54.95"/>
    <n v="4.7619047620000003"/>
    <n v="2.7475000000000001"/>
    <x v="39"/>
  </r>
  <r>
    <s v="704-10-4056"/>
    <s v="C"/>
    <x v="1"/>
    <x v="0"/>
    <s v="Male"/>
    <x v="0"/>
    <n v="60.47"/>
    <n v="3"/>
    <n v="9.0704999999999991"/>
    <n v="190.48050000000001"/>
    <x v="78"/>
    <d v="1899-12-30T10:55:00"/>
    <x v="2"/>
    <n v="181.41"/>
    <n v="4.7619047620000003"/>
    <n v="9.0704999999999991"/>
    <x v="32"/>
  </r>
  <r>
    <s v="497-37-6538"/>
    <s v="A"/>
    <x v="0"/>
    <x v="1"/>
    <s v="Male"/>
    <x v="3"/>
    <n v="58.91"/>
    <n v="7"/>
    <n v="20.618500000000001"/>
    <n v="432.98849999999999"/>
    <x v="29"/>
    <d v="1899-12-30T15:15:00"/>
    <x v="0"/>
    <n v="412.37"/>
    <n v="4.7619047620000003"/>
    <n v="20.618500000000001"/>
    <x v="58"/>
  </r>
  <r>
    <s v="651-96-5970"/>
    <s v="A"/>
    <x v="0"/>
    <x v="1"/>
    <s v="Male"/>
    <x v="5"/>
    <n v="46.41"/>
    <n v="1"/>
    <n v="2.3205"/>
    <n v="48.730499999999999"/>
    <x v="2"/>
    <d v="1899-12-30T20:06:00"/>
    <x v="2"/>
    <n v="46.41"/>
    <n v="4.7619047620000003"/>
    <n v="2.3205"/>
    <x v="43"/>
  </r>
  <r>
    <s v="400-80-4065"/>
    <s v="C"/>
    <x v="1"/>
    <x v="0"/>
    <s v="Male"/>
    <x v="0"/>
    <n v="68.55"/>
    <n v="4"/>
    <n v="13.71"/>
    <n v="287.91000000000003"/>
    <x v="42"/>
    <d v="1899-12-30T20:21:00"/>
    <x v="2"/>
    <n v="274.2"/>
    <n v="4.7619047620000003"/>
    <n v="13.71"/>
    <x v="51"/>
  </r>
  <r>
    <s v="744-16-7898"/>
    <s v="B"/>
    <x v="2"/>
    <x v="1"/>
    <s v="Female"/>
    <x v="2"/>
    <n v="97.37"/>
    <n v="10"/>
    <n v="48.685000000000002"/>
    <n v="1022.385"/>
    <x v="15"/>
    <d v="1899-12-30T13:48:00"/>
    <x v="2"/>
    <n v="973.7"/>
    <n v="4.7619047620000003"/>
    <n v="48.685000000000002"/>
    <x v="49"/>
  </r>
  <r>
    <s v="263-12-5321"/>
    <s v="A"/>
    <x v="0"/>
    <x v="0"/>
    <s v="Male"/>
    <x v="1"/>
    <n v="92.6"/>
    <n v="7"/>
    <n v="32.409999999999997"/>
    <n v="680.61"/>
    <x v="33"/>
    <d v="1899-12-30T12:52:00"/>
    <x v="2"/>
    <n v="648.20000000000005"/>
    <n v="4.7619047620000003"/>
    <n v="32.409999999999997"/>
    <x v="39"/>
  </r>
  <r>
    <s v="702-72-0487"/>
    <s v="A"/>
    <x v="0"/>
    <x v="1"/>
    <s v="Female"/>
    <x v="1"/>
    <n v="46.61"/>
    <n v="2"/>
    <n v="4.6609999999999996"/>
    <n v="97.881"/>
    <x v="84"/>
    <d v="1899-12-30T12:28:00"/>
    <x v="2"/>
    <n v="93.22"/>
    <n v="4.7619047620000003"/>
    <n v="4.6609999999999996"/>
    <x v="37"/>
  </r>
  <r>
    <s v="605-83-1050"/>
    <s v="B"/>
    <x v="2"/>
    <x v="1"/>
    <s v="Male"/>
    <x v="5"/>
    <n v="27.18"/>
    <n v="2"/>
    <n v="2.718"/>
    <n v="57.078000000000003"/>
    <x v="20"/>
    <d v="1899-12-30T16:26:00"/>
    <x v="0"/>
    <n v="54.36"/>
    <n v="4.7619047620000003"/>
    <n v="2.718"/>
    <x v="42"/>
  </r>
  <r>
    <s v="443-60-9639"/>
    <s v="C"/>
    <x v="1"/>
    <x v="0"/>
    <s v="Female"/>
    <x v="2"/>
    <n v="60.87"/>
    <n v="1"/>
    <n v="3.0434999999999999"/>
    <n v="63.913499999999999"/>
    <x v="46"/>
    <d v="1899-12-30T13:24:00"/>
    <x v="1"/>
    <n v="60.87"/>
    <n v="4.7619047620000003"/>
    <n v="3.0434999999999999"/>
    <x v="46"/>
  </r>
  <r>
    <s v="864-24-7918"/>
    <s v="A"/>
    <x v="0"/>
    <x v="0"/>
    <s v="Female"/>
    <x v="3"/>
    <n v="24.49"/>
    <n v="10"/>
    <n v="12.244999999999999"/>
    <n v="257.14499999999998"/>
    <x v="70"/>
    <d v="1899-12-30T15:15:00"/>
    <x v="1"/>
    <n v="244.9"/>
    <n v="4.7619047620000003"/>
    <n v="12.244999999999999"/>
    <x v="34"/>
  </r>
  <r>
    <s v="359-94-5395"/>
    <s v="B"/>
    <x v="2"/>
    <x v="1"/>
    <s v="Male"/>
    <x v="0"/>
    <n v="92.78"/>
    <n v="1"/>
    <n v="4.6390000000000002"/>
    <n v="97.418999999999997"/>
    <x v="20"/>
    <d v="1899-12-30T10:50:00"/>
    <x v="2"/>
    <n v="92.78"/>
    <n v="4.7619047620000003"/>
    <n v="4.6390000000000002"/>
    <x v="57"/>
  </r>
  <r>
    <s v="401-09-4232"/>
    <s v="C"/>
    <x v="1"/>
    <x v="0"/>
    <s v="Male"/>
    <x v="2"/>
    <n v="86.69"/>
    <n v="5"/>
    <n v="21.672499999999999"/>
    <n v="455.1225"/>
    <x v="48"/>
    <d v="1899-12-30T18:38:00"/>
    <x v="0"/>
    <n v="433.45"/>
    <n v="4.7619047620000003"/>
    <n v="21.672499999999999"/>
    <x v="45"/>
  </r>
  <r>
    <s v="751-15-6198"/>
    <s v="B"/>
    <x v="2"/>
    <x v="1"/>
    <s v="Male"/>
    <x v="3"/>
    <n v="23.01"/>
    <n v="6"/>
    <n v="6.9029999999999996"/>
    <n v="144.96299999999999"/>
    <x v="52"/>
    <d v="1899-12-30T16:45:00"/>
    <x v="0"/>
    <n v="138.06"/>
    <n v="4.7619047620000003"/>
    <n v="6.9029999999999996"/>
    <x v="30"/>
  </r>
  <r>
    <s v="324-41-6833"/>
    <s v="C"/>
    <x v="1"/>
    <x v="0"/>
    <s v="Female"/>
    <x v="1"/>
    <n v="30.2"/>
    <n v="8"/>
    <n v="12.08"/>
    <n v="253.68"/>
    <x v="2"/>
    <d v="1899-12-30T19:30:00"/>
    <x v="0"/>
    <n v="241.6"/>
    <n v="4.7619047620000003"/>
    <n v="12.08"/>
    <x v="20"/>
  </r>
  <r>
    <s v="474-33-8305"/>
    <s v="C"/>
    <x v="1"/>
    <x v="0"/>
    <s v="Male"/>
    <x v="5"/>
    <n v="67.39"/>
    <n v="7"/>
    <n v="23.586500000000001"/>
    <n v="495.31650000000002"/>
    <x v="28"/>
    <d v="1899-12-30T13:23:00"/>
    <x v="0"/>
    <n v="471.73"/>
    <n v="4.7619047620000003"/>
    <n v="23.586500000000001"/>
    <x v="16"/>
  </r>
  <r>
    <s v="759-29-9521"/>
    <s v="A"/>
    <x v="0"/>
    <x v="0"/>
    <s v="Female"/>
    <x v="5"/>
    <n v="48.96"/>
    <n v="9"/>
    <n v="22.032"/>
    <n v="462.67200000000003"/>
    <x v="31"/>
    <d v="1899-12-30T11:27:00"/>
    <x v="1"/>
    <n v="440.64"/>
    <n v="4.7619047620000003"/>
    <n v="22.032"/>
    <x v="7"/>
  </r>
  <r>
    <s v="831-81-6575"/>
    <s v="B"/>
    <x v="2"/>
    <x v="0"/>
    <s v="Female"/>
    <x v="1"/>
    <n v="75.59"/>
    <n v="9"/>
    <n v="34.015500000000003"/>
    <n v="714.32550000000003"/>
    <x v="55"/>
    <d v="1899-12-30T11:12:00"/>
    <x v="1"/>
    <n v="680.31"/>
    <n v="4.7619047620000003"/>
    <n v="34.015500000000003"/>
    <x v="7"/>
  </r>
  <r>
    <s v="220-68-6701"/>
    <s v="A"/>
    <x v="0"/>
    <x v="1"/>
    <s v="Female"/>
    <x v="2"/>
    <n v="77.47"/>
    <n v="4"/>
    <n v="15.494"/>
    <n v="325.37400000000002"/>
    <x v="85"/>
    <d v="1899-12-30T16:36:00"/>
    <x v="1"/>
    <n v="309.88"/>
    <n v="4.7619047620000003"/>
    <n v="15.494"/>
    <x v="50"/>
  </r>
  <r>
    <s v="618-34-8551"/>
    <s v="A"/>
    <x v="0"/>
    <x v="1"/>
    <s v="Female"/>
    <x v="3"/>
    <n v="93.18"/>
    <n v="2"/>
    <n v="9.3179999999999996"/>
    <n v="195.678"/>
    <x v="65"/>
    <d v="1899-12-30T18:41:00"/>
    <x v="2"/>
    <n v="186.36"/>
    <n v="4.7619047620000003"/>
    <n v="9.3179999999999996"/>
    <x v="23"/>
  </r>
  <r>
    <s v="257-60-7754"/>
    <s v="A"/>
    <x v="0"/>
    <x v="1"/>
    <s v="Female"/>
    <x v="1"/>
    <n v="50.23"/>
    <n v="4"/>
    <n v="10.045999999999999"/>
    <n v="210.96600000000001"/>
    <x v="66"/>
    <d v="1899-12-30T17:12:00"/>
    <x v="1"/>
    <n v="200.92"/>
    <n v="4.7619047620000003"/>
    <n v="10.045999999999999"/>
    <x v="54"/>
  </r>
  <r>
    <s v="559-61-5987"/>
    <s v="B"/>
    <x v="2"/>
    <x v="1"/>
    <s v="Female"/>
    <x v="0"/>
    <n v="17.75"/>
    <n v="1"/>
    <n v="0.88749999999999996"/>
    <n v="18.637499999999999"/>
    <x v="78"/>
    <d v="1899-12-30T10:38:00"/>
    <x v="1"/>
    <n v="17.75"/>
    <n v="4.7619047620000003"/>
    <n v="0.88749999999999996"/>
    <x v="17"/>
  </r>
  <r>
    <s v="189-55-2313"/>
    <s v="C"/>
    <x v="1"/>
    <x v="1"/>
    <s v="Female"/>
    <x v="5"/>
    <n v="62.18"/>
    <n v="10"/>
    <n v="31.09"/>
    <n v="652.89"/>
    <x v="82"/>
    <d v="1899-12-30T10:33:00"/>
    <x v="0"/>
    <n v="621.79999999999995"/>
    <n v="4.7619047620000003"/>
    <n v="31.09"/>
    <x v="22"/>
  </r>
  <r>
    <s v="565-91-4567"/>
    <s v="B"/>
    <x v="2"/>
    <x v="1"/>
    <s v="Male"/>
    <x v="0"/>
    <n v="10.75"/>
    <n v="8"/>
    <n v="4.3"/>
    <n v="90.3"/>
    <x v="20"/>
    <d v="1899-12-30T14:38:00"/>
    <x v="0"/>
    <n v="86"/>
    <n v="4.7619047620000003"/>
    <n v="4.3"/>
    <x v="56"/>
  </r>
  <r>
    <s v="380-60-5336"/>
    <s v="A"/>
    <x v="0"/>
    <x v="1"/>
    <s v="Female"/>
    <x v="1"/>
    <n v="40.26"/>
    <n v="10"/>
    <n v="20.13"/>
    <n v="422.73"/>
    <x v="7"/>
    <d v="1899-12-30T18:06:00"/>
    <x v="2"/>
    <n v="402.6"/>
    <n v="4.7619047620000003"/>
    <n v="20.13"/>
    <x v="59"/>
  </r>
  <r>
    <s v="815-04-6282"/>
    <s v="C"/>
    <x v="1"/>
    <x v="0"/>
    <s v="Female"/>
    <x v="3"/>
    <n v="64.97"/>
    <n v="5"/>
    <n v="16.2425"/>
    <n v="341.09249999999997"/>
    <x v="4"/>
    <d v="1899-12-30T12:52:00"/>
    <x v="2"/>
    <n v="324.85000000000002"/>
    <n v="4.7619047620000003"/>
    <n v="16.2425"/>
    <x v="35"/>
  </r>
  <r>
    <s v="674-56-6360"/>
    <s v="A"/>
    <x v="0"/>
    <x v="1"/>
    <s v="Male"/>
    <x v="1"/>
    <n v="95.15"/>
    <n v="1"/>
    <n v="4.7575000000000003"/>
    <n v="99.907499999999999"/>
    <x v="23"/>
    <d v="1899-12-30T14:00:00"/>
    <x v="1"/>
    <n v="95.15"/>
    <n v="4.7619047620000003"/>
    <n v="4.7575000000000003"/>
    <x v="22"/>
  </r>
  <r>
    <s v="778-34-2523"/>
    <s v="A"/>
    <x v="0"/>
    <x v="0"/>
    <s v="Female"/>
    <x v="1"/>
    <n v="48.62"/>
    <n v="8"/>
    <n v="19.448"/>
    <n v="408.40800000000002"/>
    <x v="46"/>
    <d v="1899-12-30T10:57:00"/>
    <x v="1"/>
    <n v="388.96"/>
    <n v="4.7619047620000003"/>
    <n v="19.448"/>
    <x v="59"/>
  </r>
  <r>
    <s v="499-27-7781"/>
    <s v="B"/>
    <x v="2"/>
    <x v="1"/>
    <s v="Female"/>
    <x v="4"/>
    <n v="53.21"/>
    <n v="8"/>
    <n v="21.283999999999999"/>
    <n v="446.964"/>
    <x v="86"/>
    <d v="1899-12-30T16:45:00"/>
    <x v="0"/>
    <n v="425.68"/>
    <n v="4.7619047620000003"/>
    <n v="21.283999999999999"/>
    <x v="59"/>
  </r>
  <r>
    <s v="477-59-2456"/>
    <s v="C"/>
    <x v="1"/>
    <x v="1"/>
    <s v="Female"/>
    <x v="5"/>
    <n v="45.44"/>
    <n v="7"/>
    <n v="15.904"/>
    <n v="333.98399999999998"/>
    <x v="54"/>
    <d v="1899-12-30T11:15:00"/>
    <x v="1"/>
    <n v="318.08"/>
    <n v="4.7619047620000003"/>
    <n v="15.904"/>
    <x v="51"/>
  </r>
  <r>
    <s v="832-51-6761"/>
    <s v="A"/>
    <x v="0"/>
    <x v="1"/>
    <s v="Male"/>
    <x v="4"/>
    <n v="33.880000000000003"/>
    <n v="8"/>
    <n v="13.552"/>
    <n v="284.59199999999998"/>
    <x v="64"/>
    <d v="1899-12-30T20:29:00"/>
    <x v="0"/>
    <n v="271.04000000000002"/>
    <n v="4.7619047620000003"/>
    <n v="13.552"/>
    <x v="1"/>
  </r>
  <r>
    <s v="869-11-3082"/>
    <s v="B"/>
    <x v="2"/>
    <x v="0"/>
    <s v="Male"/>
    <x v="0"/>
    <n v="96.16"/>
    <n v="4"/>
    <n v="19.231999999999999"/>
    <n v="403.87200000000001"/>
    <x v="3"/>
    <d v="1899-12-30T20:03:00"/>
    <x v="2"/>
    <n v="384.64"/>
    <n v="4.7619047620000003"/>
    <n v="19.231999999999999"/>
    <x v="3"/>
  </r>
  <r>
    <s v="190-59-3964"/>
    <s v="B"/>
    <x v="2"/>
    <x v="0"/>
    <s v="Male"/>
    <x v="4"/>
    <n v="47.16"/>
    <n v="5"/>
    <n v="11.79"/>
    <n v="247.59"/>
    <x v="36"/>
    <d v="1899-12-30T14:35:00"/>
    <x v="2"/>
    <n v="235.8"/>
    <n v="4.7619047620000003"/>
    <n v="11.79"/>
    <x v="22"/>
  </r>
  <r>
    <s v="366-43-6862"/>
    <s v="B"/>
    <x v="2"/>
    <x v="1"/>
    <s v="Male"/>
    <x v="1"/>
    <n v="52.89"/>
    <n v="4"/>
    <n v="10.577999999999999"/>
    <n v="222.13800000000001"/>
    <x v="5"/>
    <d v="1899-12-30T16:32:00"/>
    <x v="0"/>
    <n v="211.56"/>
    <n v="4.7619047620000003"/>
    <n v="10.577999999999999"/>
    <x v="24"/>
  </r>
  <r>
    <s v="186-43-8965"/>
    <s v="A"/>
    <x v="0"/>
    <x v="0"/>
    <s v="Female"/>
    <x v="2"/>
    <n v="47.68"/>
    <n v="2"/>
    <n v="4.7679999999999998"/>
    <n v="100.128"/>
    <x v="7"/>
    <d v="1899-12-30T10:10:00"/>
    <x v="2"/>
    <n v="95.36"/>
    <n v="4.7619047620000003"/>
    <n v="4.7679999999999998"/>
    <x v="5"/>
  </r>
  <r>
    <s v="784-21-9238"/>
    <s v="C"/>
    <x v="1"/>
    <x v="0"/>
    <s v="Male"/>
    <x v="3"/>
    <n v="10.17"/>
    <n v="1"/>
    <n v="0.50849999999999995"/>
    <n v="10.6785"/>
    <x v="13"/>
    <d v="1899-12-30T14:15:00"/>
    <x v="1"/>
    <n v="10.17"/>
    <n v="4.7619047620000003"/>
    <n v="0.50849999999999995"/>
    <x v="9"/>
  </r>
  <r>
    <s v="276-75-6884"/>
    <s v="A"/>
    <x v="0"/>
    <x v="1"/>
    <s v="Female"/>
    <x v="0"/>
    <n v="68.709999999999994"/>
    <n v="3"/>
    <n v="10.3065"/>
    <n v="216.4365"/>
    <x v="31"/>
    <d v="1899-12-30T10:05:00"/>
    <x v="1"/>
    <n v="206.13"/>
    <n v="4.7619047620000003"/>
    <n v="10.3065"/>
    <x v="44"/>
  </r>
  <r>
    <s v="109-86-4363"/>
    <s v="B"/>
    <x v="2"/>
    <x v="0"/>
    <s v="Female"/>
    <x v="3"/>
    <n v="60.08"/>
    <n v="7"/>
    <n v="21.027999999999999"/>
    <n v="441.58800000000002"/>
    <x v="44"/>
    <d v="1899-12-30T11:36:00"/>
    <x v="2"/>
    <n v="420.56"/>
    <n v="4.7619047620000003"/>
    <n v="21.027999999999999"/>
    <x v="10"/>
  </r>
  <r>
    <s v="569-76-2760"/>
    <s v="A"/>
    <x v="0"/>
    <x v="0"/>
    <s v="Female"/>
    <x v="3"/>
    <n v="22.01"/>
    <n v="4"/>
    <n v="4.4020000000000001"/>
    <n v="92.441999999999993"/>
    <x v="71"/>
    <d v="1899-12-30T18:15:00"/>
    <x v="2"/>
    <n v="88.04"/>
    <n v="4.7619047620000003"/>
    <n v="4.4020000000000001"/>
    <x v="37"/>
  </r>
  <r>
    <s v="222-42-0244"/>
    <s v="B"/>
    <x v="2"/>
    <x v="0"/>
    <s v="Female"/>
    <x v="0"/>
    <n v="72.11"/>
    <n v="9"/>
    <n v="32.4495"/>
    <n v="681.43949999999995"/>
    <x v="26"/>
    <d v="1899-12-30T13:53:00"/>
    <x v="2"/>
    <n v="648.99"/>
    <n v="4.7619047620000003"/>
    <n v="32.4495"/>
    <x v="25"/>
  </r>
  <r>
    <s v="760-53-9233"/>
    <s v="A"/>
    <x v="0"/>
    <x v="0"/>
    <s v="Male"/>
    <x v="5"/>
    <n v="41.28"/>
    <n v="3"/>
    <n v="6.1920000000000002"/>
    <n v="130.03200000000001"/>
    <x v="58"/>
    <d v="1899-12-30T18:37:00"/>
    <x v="2"/>
    <n v="123.84"/>
    <n v="4.7619047620000003"/>
    <n v="6.1920000000000002"/>
    <x v="23"/>
  </r>
  <r>
    <s v="538-22-0304"/>
    <s v="C"/>
    <x v="1"/>
    <x v="1"/>
    <s v="Male"/>
    <x v="1"/>
    <n v="64.95"/>
    <n v="10"/>
    <n v="32.475000000000001"/>
    <n v="681.97500000000002"/>
    <x v="62"/>
    <d v="1899-12-30T18:27:00"/>
    <x v="1"/>
    <n v="649.5"/>
    <n v="4.7619047620000003"/>
    <n v="32.475000000000001"/>
    <x v="53"/>
  </r>
  <r>
    <s v="416-17-9926"/>
    <s v="A"/>
    <x v="0"/>
    <x v="0"/>
    <s v="Female"/>
    <x v="1"/>
    <n v="74.22"/>
    <n v="10"/>
    <n v="37.11"/>
    <n v="779.31"/>
    <x v="17"/>
    <d v="1899-12-30T14:42:00"/>
    <x v="2"/>
    <n v="742.2"/>
    <n v="4.7619047620000003"/>
    <n v="37.11"/>
    <x v="42"/>
  </r>
  <r>
    <s v="237-44-6163"/>
    <s v="A"/>
    <x v="0"/>
    <x v="1"/>
    <s v="Male"/>
    <x v="1"/>
    <n v="10.56"/>
    <n v="8"/>
    <n v="4.2240000000000002"/>
    <n v="88.703999999999994"/>
    <x v="46"/>
    <d v="1899-12-30T17:43:00"/>
    <x v="1"/>
    <n v="84.48"/>
    <n v="4.7619047620000003"/>
    <n v="4.2240000000000002"/>
    <x v="29"/>
  </r>
  <r>
    <s v="636-17-0325"/>
    <s v="B"/>
    <x v="2"/>
    <x v="1"/>
    <s v="Male"/>
    <x v="0"/>
    <n v="62.57"/>
    <n v="4"/>
    <n v="12.513999999999999"/>
    <n v="262.79399999999998"/>
    <x v="6"/>
    <d v="1899-12-30T18:37:00"/>
    <x v="1"/>
    <n v="250.28"/>
    <n v="4.7619047620000003"/>
    <n v="12.513999999999999"/>
    <x v="33"/>
  </r>
  <r>
    <s v="343-75-9322"/>
    <s v="B"/>
    <x v="2"/>
    <x v="0"/>
    <s v="Female"/>
    <x v="3"/>
    <n v="11.85"/>
    <n v="8"/>
    <n v="4.74"/>
    <n v="99.54"/>
    <x v="51"/>
    <d v="1899-12-30T16:34:00"/>
    <x v="1"/>
    <n v="94.8"/>
    <n v="4.7619047620000003"/>
    <n v="4.74"/>
    <x v="5"/>
  </r>
  <r>
    <s v="528-14-9470"/>
    <s v="A"/>
    <x v="0"/>
    <x v="0"/>
    <s v="Male"/>
    <x v="0"/>
    <n v="91.3"/>
    <n v="1"/>
    <n v="4.5650000000000004"/>
    <n v="95.864999999999995"/>
    <x v="44"/>
    <d v="1899-12-30T14:42:00"/>
    <x v="0"/>
    <n v="91.3"/>
    <n v="4.7619047620000003"/>
    <n v="4.5650000000000004"/>
    <x v="51"/>
  </r>
  <r>
    <s v="427-45-9297"/>
    <s v="B"/>
    <x v="2"/>
    <x v="0"/>
    <s v="Female"/>
    <x v="2"/>
    <n v="40.729999999999997"/>
    <n v="7"/>
    <n v="14.2555"/>
    <n v="299.3655"/>
    <x v="41"/>
    <d v="1899-12-30T11:01:00"/>
    <x v="0"/>
    <n v="285.11"/>
    <n v="4.7619047620000003"/>
    <n v="14.2555"/>
    <x v="38"/>
  </r>
  <r>
    <s v="807-34-3742"/>
    <s v="A"/>
    <x v="0"/>
    <x v="1"/>
    <s v="Male"/>
    <x v="5"/>
    <n v="52.38"/>
    <n v="1"/>
    <n v="2.6190000000000002"/>
    <n v="54.999000000000002"/>
    <x v="58"/>
    <d v="1899-12-30T19:44:00"/>
    <x v="1"/>
    <n v="52.38"/>
    <n v="4.7619047620000003"/>
    <n v="2.6190000000000002"/>
    <x v="6"/>
  </r>
  <r>
    <s v="288-62-1085"/>
    <s v="A"/>
    <x v="0"/>
    <x v="0"/>
    <s v="Male"/>
    <x v="5"/>
    <n v="38.54"/>
    <n v="5"/>
    <n v="9.6349999999999998"/>
    <n v="202.33500000000001"/>
    <x v="51"/>
    <d v="1899-12-30T13:34:00"/>
    <x v="0"/>
    <n v="192.7"/>
    <n v="4.7619047620000003"/>
    <n v="9.6349999999999998"/>
    <x v="32"/>
  </r>
  <r>
    <s v="670-71-7306"/>
    <s v="B"/>
    <x v="2"/>
    <x v="1"/>
    <s v="Male"/>
    <x v="3"/>
    <n v="44.63"/>
    <n v="6"/>
    <n v="13.388999999999999"/>
    <n v="281.16899999999998"/>
    <x v="56"/>
    <d v="1899-12-30T20:08:00"/>
    <x v="2"/>
    <n v="267.77999999999997"/>
    <n v="4.7619047620000003"/>
    <n v="13.388999999999999"/>
    <x v="20"/>
  </r>
  <r>
    <s v="660-29-7083"/>
    <s v="C"/>
    <x v="1"/>
    <x v="1"/>
    <s v="Male"/>
    <x v="1"/>
    <n v="55.87"/>
    <n v="10"/>
    <n v="27.934999999999999"/>
    <n v="586.63499999999999"/>
    <x v="15"/>
    <d v="1899-12-30T15:01:00"/>
    <x v="1"/>
    <n v="558.70000000000005"/>
    <n v="4.7619047620000003"/>
    <n v="27.934999999999999"/>
    <x v="6"/>
  </r>
  <r>
    <s v="271-77-8740"/>
    <s v="C"/>
    <x v="1"/>
    <x v="0"/>
    <s v="Female"/>
    <x v="3"/>
    <n v="29.22"/>
    <n v="6"/>
    <n v="8.766"/>
    <n v="184.08600000000001"/>
    <x v="17"/>
    <d v="1899-12-30T11:40:00"/>
    <x v="0"/>
    <n v="175.32"/>
    <n v="4.7619047620000003"/>
    <n v="8.766"/>
    <x v="59"/>
  </r>
  <r>
    <s v="497-36-0989"/>
    <s v="A"/>
    <x v="0"/>
    <x v="1"/>
    <s v="Male"/>
    <x v="5"/>
    <n v="51.94"/>
    <n v="3"/>
    <n v="7.7910000000000004"/>
    <n v="163.61099999999999"/>
    <x v="42"/>
    <d v="1899-12-30T15:21:00"/>
    <x v="1"/>
    <n v="155.82"/>
    <n v="4.7619047620000003"/>
    <n v="7.7910000000000004"/>
    <x v="30"/>
  </r>
  <r>
    <s v="291-59-1384"/>
    <s v="B"/>
    <x v="2"/>
    <x v="1"/>
    <s v="Male"/>
    <x v="1"/>
    <n v="60.3"/>
    <n v="1"/>
    <n v="3.0150000000000001"/>
    <n v="63.314999999999998"/>
    <x v="38"/>
    <d v="1899-12-30T17:38:00"/>
    <x v="1"/>
    <n v="60.3"/>
    <n v="4.7619047620000003"/>
    <n v="3.0150000000000001"/>
    <x v="22"/>
  </r>
  <r>
    <s v="860-73-6466"/>
    <s v="A"/>
    <x v="0"/>
    <x v="0"/>
    <s v="Female"/>
    <x v="3"/>
    <n v="39.47"/>
    <n v="2"/>
    <n v="3.9470000000000001"/>
    <n v="82.887"/>
    <x v="22"/>
    <d v="1899-12-30T16:16:00"/>
    <x v="2"/>
    <n v="78.94"/>
    <n v="4.7619047620000003"/>
    <n v="3.9470000000000001"/>
    <x v="59"/>
  </r>
  <r>
    <s v="549-23-9016"/>
    <s v="C"/>
    <x v="1"/>
    <x v="0"/>
    <s v="Female"/>
    <x v="4"/>
    <n v="14.87"/>
    <n v="2"/>
    <n v="1.4870000000000001"/>
    <n v="31.227"/>
    <x v="77"/>
    <d v="1899-12-30T18:15:00"/>
    <x v="2"/>
    <n v="29.74"/>
    <n v="4.7619047620000003"/>
    <n v="1.4870000000000001"/>
    <x v="60"/>
  </r>
  <r>
    <s v="896-34-0956"/>
    <s v="A"/>
    <x v="0"/>
    <x v="1"/>
    <s v="Male"/>
    <x v="5"/>
    <n v="21.32"/>
    <n v="1"/>
    <n v="1.0660000000000001"/>
    <n v="22.385999999999999"/>
    <x v="53"/>
    <d v="1899-12-30T12:43:00"/>
    <x v="1"/>
    <n v="21.32"/>
    <n v="4.7619047620000003"/>
    <n v="1.0660000000000001"/>
    <x v="9"/>
  </r>
  <r>
    <s v="804-38-3935"/>
    <s v="A"/>
    <x v="0"/>
    <x v="0"/>
    <s v="Male"/>
    <x v="1"/>
    <n v="93.78"/>
    <n v="3"/>
    <n v="14.067"/>
    <n v="295.40699999999998"/>
    <x v="74"/>
    <d v="1899-12-30T11:32:00"/>
    <x v="2"/>
    <n v="281.33999999999997"/>
    <n v="4.7619047620000003"/>
    <n v="14.067"/>
    <x v="9"/>
  </r>
  <r>
    <s v="585-90-0249"/>
    <s v="A"/>
    <x v="0"/>
    <x v="0"/>
    <s v="Male"/>
    <x v="1"/>
    <n v="73.260000000000005"/>
    <n v="1"/>
    <n v="3.6629999999999998"/>
    <n v="76.923000000000002"/>
    <x v="3"/>
    <d v="1899-12-30T18:08:00"/>
    <x v="0"/>
    <n v="73.260000000000005"/>
    <n v="4.7619047620000003"/>
    <n v="3.6629999999999998"/>
    <x v="58"/>
  </r>
  <r>
    <s v="862-29-5914"/>
    <s v="C"/>
    <x v="1"/>
    <x v="1"/>
    <s v="Female"/>
    <x v="3"/>
    <n v="22.38"/>
    <n v="1"/>
    <n v="1.119"/>
    <n v="23.498999999999999"/>
    <x v="74"/>
    <d v="1899-12-30T17:08:00"/>
    <x v="2"/>
    <n v="22.38"/>
    <n v="4.7619047620000003"/>
    <n v="1.119"/>
    <x v="17"/>
  </r>
  <r>
    <s v="845-94-6841"/>
    <s v="C"/>
    <x v="1"/>
    <x v="0"/>
    <s v="Female"/>
    <x v="4"/>
    <n v="72.88"/>
    <n v="9"/>
    <n v="32.795999999999999"/>
    <n v="688.71600000000001"/>
    <x v="66"/>
    <d v="1899-12-30T19:38:00"/>
    <x v="1"/>
    <n v="655.92"/>
    <n v="4.7619047620000003"/>
    <n v="32.795999999999999"/>
    <x v="43"/>
  </r>
  <r>
    <s v="125-45-2293"/>
    <s v="A"/>
    <x v="0"/>
    <x v="1"/>
    <s v="Female"/>
    <x v="5"/>
    <n v="99.1"/>
    <n v="6"/>
    <n v="29.73"/>
    <n v="624.33000000000004"/>
    <x v="64"/>
    <d v="1899-12-30T13:11:00"/>
    <x v="1"/>
    <n v="594.6"/>
    <n v="4.7619047620000003"/>
    <n v="29.73"/>
    <x v="50"/>
  </r>
  <r>
    <s v="843-73-4724"/>
    <s v="A"/>
    <x v="0"/>
    <x v="1"/>
    <s v="Male"/>
    <x v="5"/>
    <n v="74.099999999999994"/>
    <n v="1"/>
    <n v="3.7050000000000001"/>
    <n v="77.805000000000007"/>
    <x v="25"/>
    <d v="1899-12-30T11:05:00"/>
    <x v="1"/>
    <n v="74.099999999999994"/>
    <n v="4.7619047620000003"/>
    <n v="3.7050000000000001"/>
    <x v="51"/>
  </r>
  <r>
    <s v="409-33-9708"/>
    <s v="A"/>
    <x v="0"/>
    <x v="1"/>
    <s v="Female"/>
    <x v="5"/>
    <n v="98.48"/>
    <n v="2"/>
    <n v="9.8480000000000008"/>
    <n v="206.80799999999999"/>
    <x v="88"/>
    <d v="1899-12-30T10:12:00"/>
    <x v="0"/>
    <n v="196.96"/>
    <n v="4.7619047620000003"/>
    <n v="9.8480000000000008"/>
    <x v="51"/>
  </r>
  <r>
    <s v="658-66-3967"/>
    <s v="C"/>
    <x v="1"/>
    <x v="1"/>
    <s v="Male"/>
    <x v="0"/>
    <n v="53.19"/>
    <n v="7"/>
    <n v="18.616499999999998"/>
    <n v="390.94650000000001"/>
    <x v="78"/>
    <d v="1899-12-30T15:42:00"/>
    <x v="0"/>
    <n v="372.33"/>
    <n v="4.7619047620000003"/>
    <n v="18.616499999999998"/>
    <x v="59"/>
  </r>
  <r>
    <s v="866-70-2814"/>
    <s v="B"/>
    <x v="2"/>
    <x v="1"/>
    <s v="Female"/>
    <x v="1"/>
    <n v="52.79"/>
    <n v="10"/>
    <n v="26.395"/>
    <n v="554.29499999999996"/>
    <x v="6"/>
    <d v="1899-12-30T11:58:00"/>
    <x v="0"/>
    <n v="527.9"/>
    <n v="4.7619047620000003"/>
    <n v="26.395"/>
    <x v="40"/>
  </r>
  <r>
    <s v="160-22-2687"/>
    <s v="A"/>
    <x v="0"/>
    <x v="0"/>
    <s v="Female"/>
    <x v="0"/>
    <n v="95.95"/>
    <n v="5"/>
    <n v="23.987500000000001"/>
    <n v="503.73750000000001"/>
    <x v="54"/>
    <d v="1899-12-30T14:21:00"/>
    <x v="0"/>
    <n v="479.75"/>
    <n v="4.7619047620000003"/>
    <n v="23.987500000000001"/>
    <x v="55"/>
  </r>
  <r>
    <s v="895-03-6665"/>
    <s v="B"/>
    <x v="2"/>
    <x v="1"/>
    <s v="Female"/>
    <x v="5"/>
    <n v="36.51"/>
    <n v="9"/>
    <n v="16.429500000000001"/>
    <n v="345.01949999999999"/>
    <x v="69"/>
    <d v="1899-12-30T10:52:00"/>
    <x v="1"/>
    <n v="328.59"/>
    <n v="4.7619047620000003"/>
    <n v="16.429500000000001"/>
    <x v="50"/>
  </r>
  <r>
    <s v="770-42-8960"/>
    <s v="B"/>
    <x v="2"/>
    <x v="1"/>
    <s v="Male"/>
    <x v="4"/>
    <n v="21.12"/>
    <n v="8"/>
    <n v="8.4480000000000004"/>
    <n v="177.40799999999999"/>
    <x v="17"/>
    <d v="1899-12-30T19:31:00"/>
    <x v="1"/>
    <n v="168.96"/>
    <n v="4.7619047620000003"/>
    <n v="8.4480000000000004"/>
    <x v="31"/>
  </r>
  <r>
    <s v="748-45-2862"/>
    <s v="A"/>
    <x v="0"/>
    <x v="0"/>
    <s v="Female"/>
    <x v="2"/>
    <n v="28.31"/>
    <n v="4"/>
    <n v="5.6619999999999999"/>
    <n v="118.902"/>
    <x v="37"/>
    <d v="1899-12-30T18:35:00"/>
    <x v="1"/>
    <n v="113.24"/>
    <n v="4.7619047620000003"/>
    <n v="5.6619999999999999"/>
    <x v="13"/>
  </r>
  <r>
    <s v="234-36-2483"/>
    <s v="B"/>
    <x v="2"/>
    <x v="1"/>
    <s v="Male"/>
    <x v="0"/>
    <n v="57.59"/>
    <n v="6"/>
    <n v="17.277000000000001"/>
    <n v="362.81700000000001"/>
    <x v="42"/>
    <d v="1899-12-30T13:51:00"/>
    <x v="1"/>
    <n v="345.54"/>
    <n v="4.7619047620000003"/>
    <n v="17.277000000000001"/>
    <x v="20"/>
  </r>
  <r>
    <s v="316-66-3011"/>
    <s v="A"/>
    <x v="0"/>
    <x v="0"/>
    <s v="Female"/>
    <x v="4"/>
    <n v="47.63"/>
    <n v="9"/>
    <n v="21.433499999999999"/>
    <n v="450.1035"/>
    <x v="54"/>
    <d v="1899-12-30T12:35:00"/>
    <x v="1"/>
    <n v="428.67"/>
    <n v="4.7619047620000003"/>
    <n v="21.433499999999999"/>
    <x v="59"/>
  </r>
  <r>
    <s v="848-95-6252"/>
    <s v="C"/>
    <x v="1"/>
    <x v="0"/>
    <s v="Female"/>
    <x v="2"/>
    <n v="86.27"/>
    <n v="1"/>
    <n v="4.3135000000000003"/>
    <n v="90.583500000000001"/>
    <x v="9"/>
    <d v="1899-12-30T13:24:00"/>
    <x v="0"/>
    <n v="86.27"/>
    <n v="4.7619047620000003"/>
    <n v="4.3135000000000003"/>
    <x v="27"/>
  </r>
  <r>
    <s v="840-76-5966"/>
    <s v="A"/>
    <x v="0"/>
    <x v="0"/>
    <s v="Male"/>
    <x v="3"/>
    <n v="12.76"/>
    <n v="2"/>
    <n v="1.276"/>
    <n v="26.795999999999999"/>
    <x v="66"/>
    <d v="1899-12-30T18:06:00"/>
    <x v="0"/>
    <n v="25.52"/>
    <n v="4.7619047620000003"/>
    <n v="1.276"/>
    <x v="52"/>
  </r>
  <r>
    <s v="152-03-4217"/>
    <s v="B"/>
    <x v="2"/>
    <x v="1"/>
    <s v="Female"/>
    <x v="2"/>
    <n v="11.28"/>
    <n v="9"/>
    <n v="5.0759999999999996"/>
    <n v="106.596"/>
    <x v="85"/>
    <d v="1899-12-30T11:55:00"/>
    <x v="2"/>
    <n v="101.52"/>
    <n v="4.7619047620000003"/>
    <n v="5.0759999999999996"/>
    <x v="42"/>
  </r>
  <r>
    <s v="533-66-5566"/>
    <s v="B"/>
    <x v="2"/>
    <x v="1"/>
    <s v="Female"/>
    <x v="2"/>
    <n v="51.07"/>
    <n v="7"/>
    <n v="17.874500000000001"/>
    <n v="375.36450000000002"/>
    <x v="52"/>
    <d v="1899-12-30T11:42:00"/>
    <x v="1"/>
    <n v="357.49"/>
    <n v="4.7619047620000003"/>
    <n v="17.874500000000001"/>
    <x v="27"/>
  </r>
  <r>
    <s v="124-31-1458"/>
    <s v="A"/>
    <x v="0"/>
    <x v="0"/>
    <s v="Female"/>
    <x v="1"/>
    <n v="79.59"/>
    <n v="3"/>
    <n v="11.938499999999999"/>
    <n v="250.70849999999999"/>
    <x v="66"/>
    <d v="1899-12-30T14:30:00"/>
    <x v="1"/>
    <n v="238.77"/>
    <n v="4.7619047620000003"/>
    <n v="11.938499999999999"/>
    <x v="37"/>
  </r>
  <r>
    <s v="176-78-1170"/>
    <s v="C"/>
    <x v="1"/>
    <x v="0"/>
    <s v="Male"/>
    <x v="0"/>
    <n v="33.81"/>
    <n v="3"/>
    <n v="5.0715000000000003"/>
    <n v="106.50149999999999"/>
    <x v="53"/>
    <d v="1899-12-30T15:11:00"/>
    <x v="0"/>
    <n v="101.43"/>
    <n v="4.7619047620000003"/>
    <n v="5.0715000000000003"/>
    <x v="48"/>
  </r>
  <r>
    <s v="361-59-0574"/>
    <s v="B"/>
    <x v="2"/>
    <x v="0"/>
    <s v="Male"/>
    <x v="3"/>
    <n v="90.53"/>
    <n v="8"/>
    <n v="36.212000000000003"/>
    <n v="760.452"/>
    <x v="20"/>
    <d v="1899-12-30T14:48:00"/>
    <x v="2"/>
    <n v="724.24"/>
    <n v="4.7619047620000003"/>
    <n v="36.212000000000003"/>
    <x v="35"/>
  </r>
  <r>
    <s v="101-81-4070"/>
    <s v="C"/>
    <x v="1"/>
    <x v="0"/>
    <s v="Female"/>
    <x v="0"/>
    <n v="62.82"/>
    <n v="2"/>
    <n v="6.282"/>
    <n v="131.922"/>
    <x v="29"/>
    <d v="1899-12-30T12:36:00"/>
    <x v="0"/>
    <n v="125.64"/>
    <n v="4.7619047620000003"/>
    <n v="6.282"/>
    <x v="49"/>
  </r>
  <r>
    <s v="631-34-1880"/>
    <s v="C"/>
    <x v="1"/>
    <x v="0"/>
    <s v="Male"/>
    <x v="4"/>
    <n v="24.31"/>
    <n v="3"/>
    <n v="3.6465000000000001"/>
    <n v="76.576499999999996"/>
    <x v="66"/>
    <d v="1899-12-30T19:09:00"/>
    <x v="2"/>
    <n v="72.930000000000007"/>
    <n v="4.7619047620000003"/>
    <n v="3.6465000000000001"/>
    <x v="42"/>
  </r>
  <r>
    <s v="852-82-2749"/>
    <s v="A"/>
    <x v="0"/>
    <x v="1"/>
    <s v="Male"/>
    <x v="3"/>
    <n v="64.59"/>
    <n v="4"/>
    <n v="12.917999999999999"/>
    <n v="271.27800000000002"/>
    <x v="47"/>
    <d v="1899-12-30T13:35:00"/>
    <x v="0"/>
    <n v="258.36"/>
    <n v="4.7619047620000003"/>
    <n v="12.917999999999999"/>
    <x v="39"/>
  </r>
  <r>
    <s v="873-14-6353"/>
    <s v="A"/>
    <x v="0"/>
    <x v="0"/>
    <s v="Male"/>
    <x v="4"/>
    <n v="24.82"/>
    <n v="7"/>
    <n v="8.6869999999999994"/>
    <n v="182.42699999999999"/>
    <x v="69"/>
    <d v="1899-12-30T10:33:00"/>
    <x v="2"/>
    <n v="173.74"/>
    <n v="4.7619047620000003"/>
    <n v="8.6869999999999994"/>
    <x v="12"/>
  </r>
  <r>
    <s v="584-66-4073"/>
    <s v="C"/>
    <x v="1"/>
    <x v="1"/>
    <s v="Male"/>
    <x v="5"/>
    <n v="56.5"/>
    <n v="1"/>
    <n v="2.8250000000000002"/>
    <n v="59.325000000000003"/>
    <x v="45"/>
    <d v="1899-12-30T15:45:00"/>
    <x v="0"/>
    <n v="56.5"/>
    <n v="4.7619047620000003"/>
    <n v="2.8250000000000002"/>
    <x v="1"/>
  </r>
  <r>
    <s v="544-55-9589"/>
    <s v="B"/>
    <x v="2"/>
    <x v="0"/>
    <s v="Female"/>
    <x v="1"/>
    <n v="21.43"/>
    <n v="10"/>
    <n v="10.715"/>
    <n v="225.01499999999999"/>
    <x v="26"/>
    <d v="1899-12-30T11:51:00"/>
    <x v="1"/>
    <n v="214.3"/>
    <n v="4.7619047620000003"/>
    <n v="10.715"/>
    <x v="56"/>
  </r>
  <r>
    <s v="166-19-2553"/>
    <s v="A"/>
    <x v="0"/>
    <x v="0"/>
    <s v="Male"/>
    <x v="3"/>
    <n v="89.06"/>
    <n v="6"/>
    <n v="26.718"/>
    <n v="561.07799999999997"/>
    <x v="68"/>
    <d v="1899-12-30T17:26:00"/>
    <x v="1"/>
    <n v="534.36"/>
    <n v="4.7619047620000003"/>
    <n v="26.718"/>
    <x v="21"/>
  </r>
  <r>
    <s v="737-88-5876"/>
    <s v="A"/>
    <x v="0"/>
    <x v="0"/>
    <s v="Male"/>
    <x v="2"/>
    <n v="23.29"/>
    <n v="4"/>
    <n v="4.6580000000000004"/>
    <n v="97.817999999999998"/>
    <x v="35"/>
    <d v="1899-12-30T11:52:00"/>
    <x v="2"/>
    <n v="93.16"/>
    <n v="4.7619047620000003"/>
    <n v="4.6580000000000004"/>
    <x v="9"/>
  </r>
  <r>
    <s v="154-87-7367"/>
    <s v="C"/>
    <x v="1"/>
    <x v="1"/>
    <s v="Male"/>
    <x v="2"/>
    <n v="65.260000000000005"/>
    <n v="8"/>
    <n v="26.103999999999999"/>
    <n v="548.18399999999997"/>
    <x v="20"/>
    <d v="1899-12-30T14:04:00"/>
    <x v="0"/>
    <n v="522.08000000000004"/>
    <n v="4.7619047620000003"/>
    <n v="26.103999999999999"/>
    <x v="31"/>
  </r>
  <r>
    <s v="885-56-0389"/>
    <s v="C"/>
    <x v="1"/>
    <x v="0"/>
    <s v="Male"/>
    <x v="5"/>
    <n v="52.35"/>
    <n v="1"/>
    <n v="2.6175000000000002"/>
    <n v="54.967500000000001"/>
    <x v="12"/>
    <d v="1899-12-30T17:49:00"/>
    <x v="1"/>
    <n v="52.35"/>
    <n v="4.7619047620000003"/>
    <n v="2.6175000000000002"/>
    <x v="43"/>
  </r>
  <r>
    <s v="608-05-3804"/>
    <s v="B"/>
    <x v="2"/>
    <x v="0"/>
    <s v="Male"/>
    <x v="1"/>
    <n v="39.75"/>
    <n v="1"/>
    <n v="1.9875"/>
    <n v="41.737499999999997"/>
    <x v="6"/>
    <d v="1899-12-30T20:19:00"/>
    <x v="1"/>
    <n v="39.75"/>
    <n v="4.7619047620000003"/>
    <n v="1.9875"/>
    <x v="36"/>
  </r>
  <r>
    <s v="448-61-3783"/>
    <s v="A"/>
    <x v="0"/>
    <x v="1"/>
    <s v="Female"/>
    <x v="1"/>
    <n v="90.02"/>
    <n v="8"/>
    <n v="36.008000000000003"/>
    <n v="756.16800000000001"/>
    <x v="76"/>
    <d v="1899-12-30T16:08:00"/>
    <x v="2"/>
    <n v="720.16"/>
    <n v="4.7619047620000003"/>
    <n v="36.008000000000003"/>
    <x v="10"/>
  </r>
  <r>
    <s v="761-49-0439"/>
    <s v="B"/>
    <x v="2"/>
    <x v="0"/>
    <s v="Female"/>
    <x v="1"/>
    <n v="12.1"/>
    <n v="8"/>
    <n v="4.84"/>
    <n v="101.64"/>
    <x v="64"/>
    <d v="1899-12-30T10:17:00"/>
    <x v="0"/>
    <n v="96.8"/>
    <n v="4.7619047620000003"/>
    <n v="4.84"/>
    <x v="17"/>
  </r>
  <r>
    <s v="490-95-0021"/>
    <s v="B"/>
    <x v="2"/>
    <x v="0"/>
    <s v="Female"/>
    <x v="4"/>
    <n v="33.21"/>
    <n v="10"/>
    <n v="16.605"/>
    <n v="348.70499999999998"/>
    <x v="66"/>
    <d v="1899-12-30T14:25:00"/>
    <x v="0"/>
    <n v="332.1"/>
    <n v="4.7619047620000003"/>
    <n v="16.605"/>
    <x v="22"/>
  </r>
  <r>
    <s v="115-38-7388"/>
    <s v="C"/>
    <x v="1"/>
    <x v="0"/>
    <s v="Female"/>
    <x v="5"/>
    <n v="10.18"/>
    <n v="8"/>
    <n v="4.0720000000000001"/>
    <n v="85.512"/>
    <x v="73"/>
    <d v="1899-12-30T12:51:00"/>
    <x v="2"/>
    <n v="81.44"/>
    <n v="4.7619047620000003"/>
    <n v="4.0720000000000001"/>
    <x v="33"/>
  </r>
  <r>
    <s v="311-13-6971"/>
    <s v="B"/>
    <x v="2"/>
    <x v="0"/>
    <s v="Male"/>
    <x v="3"/>
    <n v="31.99"/>
    <n v="10"/>
    <n v="15.994999999999999"/>
    <n v="335.89499999999998"/>
    <x v="9"/>
    <d v="1899-12-30T15:18:00"/>
    <x v="2"/>
    <n v="319.89999999999998"/>
    <n v="4.7619047620000003"/>
    <n v="15.994999999999999"/>
    <x v="21"/>
  </r>
  <r>
    <s v="291-55-6563"/>
    <s v="A"/>
    <x v="0"/>
    <x v="0"/>
    <s v="Female"/>
    <x v="2"/>
    <n v="34.42"/>
    <n v="6"/>
    <n v="10.326000000000001"/>
    <n v="216.846"/>
    <x v="73"/>
    <d v="1899-12-30T12:45:00"/>
    <x v="0"/>
    <n v="206.52"/>
    <n v="4.7619047620000003"/>
    <n v="10.326000000000001"/>
    <x v="26"/>
  </r>
  <r>
    <s v="548-48-3156"/>
    <s v="A"/>
    <x v="0"/>
    <x v="0"/>
    <s v="Female"/>
    <x v="4"/>
    <n v="83.34"/>
    <n v="2"/>
    <n v="8.3339999999999996"/>
    <n v="175.01400000000001"/>
    <x v="35"/>
    <d v="1899-12-30T13:37:00"/>
    <x v="1"/>
    <n v="166.68"/>
    <n v="4.7619047620000003"/>
    <n v="8.3339999999999996"/>
    <x v="29"/>
  </r>
  <r>
    <s v="460-93-5834"/>
    <s v="A"/>
    <x v="0"/>
    <x v="1"/>
    <s v="Male"/>
    <x v="3"/>
    <n v="45.58"/>
    <n v="7"/>
    <n v="15.952999999999999"/>
    <n v="335.01299999999998"/>
    <x v="50"/>
    <d v="1899-12-30T10:03:00"/>
    <x v="1"/>
    <n v="319.06"/>
    <n v="4.7619047620000003"/>
    <n v="15.952999999999999"/>
    <x v="59"/>
  </r>
  <r>
    <s v="325-89-4209"/>
    <s v="A"/>
    <x v="0"/>
    <x v="0"/>
    <s v="Male"/>
    <x v="4"/>
    <n v="87.9"/>
    <n v="1"/>
    <n v="4.3949999999999996"/>
    <n v="92.295000000000002"/>
    <x v="63"/>
    <d v="1899-12-30T19:42:00"/>
    <x v="0"/>
    <n v="87.9"/>
    <n v="4.7619047620000003"/>
    <n v="4.3949999999999996"/>
    <x v="24"/>
  </r>
  <r>
    <s v="884-80-6021"/>
    <s v="A"/>
    <x v="0"/>
    <x v="0"/>
    <s v="Female"/>
    <x v="1"/>
    <n v="73.47"/>
    <n v="10"/>
    <n v="36.734999999999999"/>
    <n v="771.43499999999995"/>
    <x v="28"/>
    <d v="1899-12-30T13:14:00"/>
    <x v="0"/>
    <n v="734.7"/>
    <n v="4.7619047620000003"/>
    <n v="36.734999999999999"/>
    <x v="33"/>
  </r>
  <r>
    <s v="137-74-8729"/>
    <s v="C"/>
    <x v="1"/>
    <x v="1"/>
    <s v="Female"/>
    <x v="5"/>
    <n v="12.19"/>
    <n v="8"/>
    <n v="4.8760000000000003"/>
    <n v="102.396"/>
    <x v="45"/>
    <d v="1899-12-30T12:47:00"/>
    <x v="0"/>
    <n v="97.52"/>
    <n v="4.7619047620000003"/>
    <n v="4.8760000000000003"/>
    <x v="11"/>
  </r>
  <r>
    <s v="880-46-5796"/>
    <s v="A"/>
    <x v="0"/>
    <x v="0"/>
    <s v="Male"/>
    <x v="3"/>
    <n v="76.92"/>
    <n v="10"/>
    <n v="38.46"/>
    <n v="807.66"/>
    <x v="85"/>
    <d v="1899-12-30T19:53:00"/>
    <x v="0"/>
    <n v="769.2"/>
    <n v="4.7619047620000003"/>
    <n v="38.46"/>
    <x v="32"/>
  </r>
  <r>
    <s v="389-70-2397"/>
    <s v="C"/>
    <x v="1"/>
    <x v="1"/>
    <s v="Female"/>
    <x v="0"/>
    <n v="83.66"/>
    <n v="5"/>
    <n v="20.914999999999999"/>
    <n v="439.21499999999997"/>
    <x v="81"/>
    <d v="1899-12-30T10:26:00"/>
    <x v="1"/>
    <n v="418.3"/>
    <n v="4.7619047620000003"/>
    <n v="20.914999999999999"/>
    <x v="8"/>
  </r>
  <r>
    <s v="114-35-5271"/>
    <s v="B"/>
    <x v="2"/>
    <x v="1"/>
    <s v="Female"/>
    <x v="1"/>
    <n v="57.91"/>
    <n v="8"/>
    <n v="23.164000000000001"/>
    <n v="486.44400000000002"/>
    <x v="13"/>
    <d v="1899-12-30T15:06:00"/>
    <x v="1"/>
    <n v="463.28"/>
    <n v="4.7619047620000003"/>
    <n v="23.164000000000001"/>
    <x v="34"/>
  </r>
  <r>
    <s v="607-76-6216"/>
    <s v="C"/>
    <x v="1"/>
    <x v="0"/>
    <s v="Female"/>
    <x v="5"/>
    <n v="92.49"/>
    <n v="5"/>
    <n v="23.122499999999999"/>
    <n v="485.57249999999999"/>
    <x v="22"/>
    <d v="1899-12-30T16:35:00"/>
    <x v="2"/>
    <n v="462.45"/>
    <n v="4.7619047620000003"/>
    <n v="23.122499999999999"/>
    <x v="17"/>
  </r>
  <r>
    <s v="715-20-1673"/>
    <s v="B"/>
    <x v="2"/>
    <x v="1"/>
    <s v="Male"/>
    <x v="1"/>
    <n v="28.38"/>
    <n v="5"/>
    <n v="7.0949999999999998"/>
    <n v="148.995"/>
    <x v="43"/>
    <d v="1899-12-30T20:57:00"/>
    <x v="1"/>
    <n v="141.9"/>
    <n v="4.7619047620000003"/>
    <n v="7.0949999999999998"/>
    <x v="45"/>
  </r>
  <r>
    <s v="811-35-1094"/>
    <s v="B"/>
    <x v="2"/>
    <x v="0"/>
    <s v="Male"/>
    <x v="1"/>
    <n v="50.45"/>
    <n v="6"/>
    <n v="15.135"/>
    <n v="317.83499999999998"/>
    <x v="10"/>
    <d v="1899-12-30T15:16:00"/>
    <x v="2"/>
    <n v="302.7"/>
    <n v="4.7619047620000003"/>
    <n v="15.135"/>
    <x v="60"/>
  </r>
  <r>
    <s v="699-88-1972"/>
    <s v="B"/>
    <x v="2"/>
    <x v="1"/>
    <s v="Male"/>
    <x v="0"/>
    <n v="99.16"/>
    <n v="8"/>
    <n v="39.664000000000001"/>
    <n v="832.94399999999996"/>
    <x v="26"/>
    <d v="1899-12-30T17:47:00"/>
    <x v="2"/>
    <n v="793.28"/>
    <n v="4.7619047620000003"/>
    <n v="39.664000000000001"/>
    <x v="50"/>
  </r>
  <r>
    <s v="781-84-8059"/>
    <s v="C"/>
    <x v="1"/>
    <x v="1"/>
    <s v="Male"/>
    <x v="5"/>
    <n v="60.74"/>
    <n v="7"/>
    <n v="21.259"/>
    <n v="446.43900000000002"/>
    <x v="68"/>
    <d v="1899-12-30T16:23:00"/>
    <x v="0"/>
    <n v="425.18"/>
    <n v="4.7619047620000003"/>
    <n v="21.259"/>
    <x v="59"/>
  </r>
  <r>
    <s v="409-49-6995"/>
    <s v="C"/>
    <x v="1"/>
    <x v="0"/>
    <s v="Female"/>
    <x v="4"/>
    <n v="47.27"/>
    <n v="6"/>
    <n v="14.180999999999999"/>
    <n v="297.80099999999999"/>
    <x v="63"/>
    <d v="1899-12-30T10:17:00"/>
    <x v="1"/>
    <n v="283.62"/>
    <n v="4.7619047620000003"/>
    <n v="14.180999999999999"/>
    <x v="55"/>
  </r>
  <r>
    <s v="725-54-0677"/>
    <s v="C"/>
    <x v="1"/>
    <x v="0"/>
    <s v="Male"/>
    <x v="0"/>
    <n v="85.6"/>
    <n v="7"/>
    <n v="29.96"/>
    <n v="629.16"/>
    <x v="22"/>
    <d v="1899-12-30T13:50:00"/>
    <x v="1"/>
    <n v="599.20000000000005"/>
    <n v="4.7619047620000003"/>
    <n v="29.96"/>
    <x v="4"/>
  </r>
  <r>
    <s v="146-09-5432"/>
    <s v="A"/>
    <x v="0"/>
    <x v="0"/>
    <s v="Male"/>
    <x v="4"/>
    <n v="35.04"/>
    <n v="9"/>
    <n v="15.768000000000001"/>
    <n v="331.12799999999999"/>
    <x v="57"/>
    <d v="1899-12-30T19:17:00"/>
    <x v="0"/>
    <n v="315.36"/>
    <n v="4.7619047620000003"/>
    <n v="15.768000000000001"/>
    <x v="15"/>
  </r>
  <r>
    <s v="377-79-7592"/>
    <s v="C"/>
    <x v="1"/>
    <x v="0"/>
    <s v="Female"/>
    <x v="1"/>
    <n v="44.84"/>
    <n v="9"/>
    <n v="20.178000000000001"/>
    <n v="423.738"/>
    <x v="78"/>
    <d v="1899-12-30T14:00:00"/>
    <x v="2"/>
    <n v="403.56"/>
    <n v="4.7619047620000003"/>
    <n v="20.178000000000001"/>
    <x v="26"/>
  </r>
  <r>
    <s v="509-10-0516"/>
    <s v="B"/>
    <x v="2"/>
    <x v="1"/>
    <s v="Male"/>
    <x v="2"/>
    <n v="45.97"/>
    <n v="4"/>
    <n v="9.1940000000000008"/>
    <n v="193.07400000000001"/>
    <x v="57"/>
    <d v="1899-12-30T12:02:00"/>
    <x v="0"/>
    <n v="183.88"/>
    <n v="4.7619047620000003"/>
    <n v="9.1940000000000008"/>
    <x v="20"/>
  </r>
  <r>
    <s v="595-94-9924"/>
    <s v="A"/>
    <x v="0"/>
    <x v="0"/>
    <s v="Female"/>
    <x v="0"/>
    <n v="27.73"/>
    <n v="5"/>
    <n v="6.9325000000000001"/>
    <n v="145.58250000000001"/>
    <x v="58"/>
    <d v="1899-12-30T20:21:00"/>
    <x v="2"/>
    <n v="138.65"/>
    <n v="4.7619047620000003"/>
    <n v="6.9325000000000001"/>
    <x v="50"/>
  </r>
  <r>
    <s v="865-41-9075"/>
    <s v="A"/>
    <x v="0"/>
    <x v="1"/>
    <s v="Male"/>
    <x v="4"/>
    <n v="11.53"/>
    <n v="7"/>
    <n v="4.0354999999999999"/>
    <n v="84.745500000000007"/>
    <x v="26"/>
    <d v="1899-12-30T17:35:00"/>
    <x v="1"/>
    <n v="80.709999999999994"/>
    <n v="4.7619047620000003"/>
    <n v="4.0354999999999999"/>
    <x v="34"/>
  </r>
  <r>
    <s v="545-07-8534"/>
    <s v="C"/>
    <x v="1"/>
    <x v="1"/>
    <s v="Female"/>
    <x v="0"/>
    <n v="58.32"/>
    <n v="2"/>
    <n v="5.8319999999999999"/>
    <n v="122.47199999999999"/>
    <x v="44"/>
    <d v="1899-12-30T12:42:00"/>
    <x v="0"/>
    <n v="116.64"/>
    <n v="4.7619047620000003"/>
    <n v="5.8319999999999999"/>
    <x v="22"/>
  </r>
  <r>
    <s v="118-62-1812"/>
    <s v="C"/>
    <x v="1"/>
    <x v="0"/>
    <s v="Female"/>
    <x v="2"/>
    <n v="78.38"/>
    <n v="4"/>
    <n v="15.676"/>
    <n v="329.19600000000003"/>
    <x v="62"/>
    <d v="1899-12-30T17:56:00"/>
    <x v="1"/>
    <n v="313.52"/>
    <n v="4.7619047620000003"/>
    <n v="15.676"/>
    <x v="30"/>
  </r>
  <r>
    <s v="450-42-3339"/>
    <s v="C"/>
    <x v="1"/>
    <x v="1"/>
    <s v="Male"/>
    <x v="0"/>
    <n v="84.61"/>
    <n v="10"/>
    <n v="42.305"/>
    <n v="888.40499999999997"/>
    <x v="57"/>
    <d v="1899-12-30T18:58:00"/>
    <x v="2"/>
    <n v="846.1"/>
    <n v="4.7619047620000003"/>
    <n v="42.305"/>
    <x v="55"/>
  </r>
  <r>
    <s v="851-98-3555"/>
    <s v="B"/>
    <x v="2"/>
    <x v="1"/>
    <s v="Female"/>
    <x v="0"/>
    <n v="82.88"/>
    <n v="5"/>
    <n v="20.72"/>
    <n v="435.12"/>
    <x v="62"/>
    <d v="1899-12-30T14:08:00"/>
    <x v="2"/>
    <n v="414.4"/>
    <n v="4.7619047620000003"/>
    <n v="20.72"/>
    <x v="37"/>
  </r>
  <r>
    <s v="186-71-5196"/>
    <s v="A"/>
    <x v="0"/>
    <x v="0"/>
    <s v="Female"/>
    <x v="4"/>
    <n v="79.540000000000006"/>
    <n v="2"/>
    <n v="7.9539999999999997"/>
    <n v="167.03399999999999"/>
    <x v="39"/>
    <d v="1899-12-30T16:30:00"/>
    <x v="0"/>
    <n v="159.08000000000001"/>
    <n v="4.7619047620000003"/>
    <n v="7.9539999999999997"/>
    <x v="56"/>
  </r>
  <r>
    <s v="624-01-8356"/>
    <s v="B"/>
    <x v="2"/>
    <x v="1"/>
    <s v="Female"/>
    <x v="2"/>
    <n v="49.01"/>
    <n v="10"/>
    <n v="24.504999999999999"/>
    <n v="514.60500000000002"/>
    <x v="3"/>
    <d v="1899-12-30T10:44:00"/>
    <x v="2"/>
    <n v="490.1"/>
    <n v="4.7619047620000003"/>
    <n v="24.504999999999999"/>
    <x v="50"/>
  </r>
  <r>
    <s v="313-66-9943"/>
    <s v="B"/>
    <x v="2"/>
    <x v="0"/>
    <s v="Female"/>
    <x v="4"/>
    <n v="29.15"/>
    <n v="3"/>
    <n v="4.3724999999999996"/>
    <n v="91.822500000000005"/>
    <x v="39"/>
    <d v="1899-12-30T20:29:00"/>
    <x v="2"/>
    <n v="87.45"/>
    <n v="4.7619047620000003"/>
    <n v="4.3724999999999996"/>
    <x v="48"/>
  </r>
  <r>
    <s v="151-27-8496"/>
    <s v="C"/>
    <x v="1"/>
    <x v="1"/>
    <s v="Female"/>
    <x v="1"/>
    <n v="56.13"/>
    <n v="4"/>
    <n v="11.226000000000001"/>
    <n v="235.74600000000001"/>
    <x v="64"/>
    <d v="1899-12-30T11:43:00"/>
    <x v="0"/>
    <n v="224.52"/>
    <n v="4.7619047620000003"/>
    <n v="11.226000000000001"/>
    <x v="17"/>
  </r>
  <r>
    <s v="453-33-6436"/>
    <s v="A"/>
    <x v="0"/>
    <x v="1"/>
    <s v="Female"/>
    <x v="2"/>
    <n v="93.12"/>
    <n v="8"/>
    <n v="37.247999999999998"/>
    <n v="782.20799999999997"/>
    <x v="13"/>
    <d v="1899-12-30T10:09:00"/>
    <x v="1"/>
    <n v="744.96"/>
    <n v="4.7619047620000003"/>
    <n v="37.247999999999998"/>
    <x v="11"/>
  </r>
  <r>
    <s v="522-57-8364"/>
    <s v="A"/>
    <x v="0"/>
    <x v="0"/>
    <s v="Male"/>
    <x v="5"/>
    <n v="51.34"/>
    <n v="8"/>
    <n v="20.536000000000001"/>
    <n v="431.25599999999997"/>
    <x v="82"/>
    <d v="1899-12-30T10:00:00"/>
    <x v="0"/>
    <n v="410.72"/>
    <n v="4.7619047620000003"/>
    <n v="20.536000000000001"/>
    <x v="29"/>
  </r>
  <r>
    <s v="459-45-2396"/>
    <s v="A"/>
    <x v="0"/>
    <x v="0"/>
    <s v="Female"/>
    <x v="4"/>
    <n v="99.6"/>
    <n v="3"/>
    <n v="14.94"/>
    <n v="313.74"/>
    <x v="6"/>
    <d v="1899-12-30T18:45:00"/>
    <x v="1"/>
    <n v="298.8"/>
    <n v="4.7619047620000003"/>
    <n v="14.94"/>
    <x v="6"/>
  </r>
  <r>
    <s v="717-96-4189"/>
    <s v="C"/>
    <x v="1"/>
    <x v="1"/>
    <s v="Female"/>
    <x v="1"/>
    <n v="35.49"/>
    <n v="6"/>
    <n v="10.647"/>
    <n v="223.58699999999999"/>
    <x v="30"/>
    <d v="1899-12-30T12:40:00"/>
    <x v="1"/>
    <n v="212.94"/>
    <n v="4.7619047620000003"/>
    <n v="10.647"/>
    <x v="5"/>
  </r>
  <r>
    <s v="722-13-2115"/>
    <s v="C"/>
    <x v="1"/>
    <x v="0"/>
    <s v="Male"/>
    <x v="3"/>
    <n v="42.85"/>
    <n v="1"/>
    <n v="2.1425000000000001"/>
    <n v="44.9925"/>
    <x v="86"/>
    <d v="1899-12-30T15:36:00"/>
    <x v="2"/>
    <n v="42.85"/>
    <n v="4.7619047620000003"/>
    <n v="2.1425000000000001"/>
    <x v="39"/>
  </r>
  <r>
    <s v="749-81-8133"/>
    <s v="A"/>
    <x v="0"/>
    <x v="1"/>
    <s v="Female"/>
    <x v="5"/>
    <n v="94.67"/>
    <n v="4"/>
    <n v="18.934000000000001"/>
    <n v="397.61399999999998"/>
    <x v="16"/>
    <d v="1899-12-30T12:04:00"/>
    <x v="1"/>
    <n v="378.68"/>
    <n v="4.7619047620000003"/>
    <n v="18.934000000000001"/>
    <x v="11"/>
  </r>
  <r>
    <s v="777-67-2495"/>
    <s v="B"/>
    <x v="2"/>
    <x v="1"/>
    <s v="Male"/>
    <x v="2"/>
    <n v="68.97"/>
    <n v="3"/>
    <n v="10.345499999999999"/>
    <n v="217.25550000000001"/>
    <x v="70"/>
    <d v="1899-12-30T11:26:00"/>
    <x v="0"/>
    <n v="206.91"/>
    <n v="4.7619047620000003"/>
    <n v="10.345499999999999"/>
    <x v="44"/>
  </r>
  <r>
    <s v="636-98-3364"/>
    <s v="B"/>
    <x v="2"/>
    <x v="0"/>
    <s v="Female"/>
    <x v="1"/>
    <n v="26.26"/>
    <n v="3"/>
    <n v="3.9390000000000001"/>
    <n v="82.718999999999994"/>
    <x v="22"/>
    <d v="1899-12-30T12:36:00"/>
    <x v="0"/>
    <n v="78.78"/>
    <n v="4.7619047620000003"/>
    <n v="3.9390000000000001"/>
    <x v="31"/>
  </r>
  <r>
    <s v="246-55-6923"/>
    <s v="C"/>
    <x v="1"/>
    <x v="0"/>
    <s v="Female"/>
    <x v="2"/>
    <n v="35.79"/>
    <n v="9"/>
    <n v="16.105499999999999"/>
    <n v="338.21550000000002"/>
    <x v="24"/>
    <d v="1899-12-30T15:06:00"/>
    <x v="2"/>
    <n v="322.11"/>
    <n v="4.7619047620000003"/>
    <n v="16.105499999999999"/>
    <x v="20"/>
  </r>
  <r>
    <s v="181-82-6255"/>
    <s v="B"/>
    <x v="2"/>
    <x v="1"/>
    <s v="Female"/>
    <x v="2"/>
    <n v="16.37"/>
    <n v="6"/>
    <n v="4.9109999999999996"/>
    <n v="103.131"/>
    <x v="4"/>
    <d v="1899-12-30T10:58:00"/>
    <x v="1"/>
    <n v="98.22"/>
    <n v="4.7619047620000003"/>
    <n v="4.9109999999999996"/>
    <x v="27"/>
  </r>
  <r>
    <s v="838-02-1821"/>
    <s v="C"/>
    <x v="1"/>
    <x v="0"/>
    <s v="Female"/>
    <x v="2"/>
    <n v="12.73"/>
    <n v="2"/>
    <n v="1.2729999999999999"/>
    <n v="26.733000000000001"/>
    <x v="70"/>
    <d v="1899-12-30T12:10:00"/>
    <x v="2"/>
    <n v="25.46"/>
    <n v="4.7619047620000003"/>
    <n v="1.2729999999999999"/>
    <x v="53"/>
  </r>
  <r>
    <s v="887-42-0517"/>
    <s v="C"/>
    <x v="1"/>
    <x v="1"/>
    <s v="Female"/>
    <x v="3"/>
    <n v="83.14"/>
    <n v="7"/>
    <n v="29.099"/>
    <n v="611.07899999999995"/>
    <x v="8"/>
    <d v="1899-12-30T10:31:00"/>
    <x v="2"/>
    <n v="581.98"/>
    <n v="4.7619047620000003"/>
    <n v="29.099"/>
    <x v="37"/>
  </r>
  <r>
    <s v="457-12-0244"/>
    <s v="C"/>
    <x v="1"/>
    <x v="0"/>
    <s v="Female"/>
    <x v="3"/>
    <n v="35.22"/>
    <n v="6"/>
    <n v="10.566000000000001"/>
    <n v="221.886"/>
    <x v="86"/>
    <d v="1899-12-30T13:49:00"/>
    <x v="0"/>
    <n v="211.32"/>
    <n v="4.7619047620000003"/>
    <n v="10.566000000000001"/>
    <x v="35"/>
  </r>
  <r>
    <s v="226-34-0034"/>
    <s v="B"/>
    <x v="2"/>
    <x v="1"/>
    <s v="Female"/>
    <x v="1"/>
    <n v="13.78"/>
    <n v="4"/>
    <n v="2.7559999999999998"/>
    <n v="57.875999999999998"/>
    <x v="8"/>
    <d v="1899-12-30T11:10:00"/>
    <x v="0"/>
    <n v="55.12"/>
    <n v="4.7619047620000003"/>
    <n v="2.7559999999999998"/>
    <x v="54"/>
  </r>
  <r>
    <s v="321-49-7382"/>
    <s v="B"/>
    <x v="2"/>
    <x v="0"/>
    <s v="Male"/>
    <x v="3"/>
    <n v="88.31"/>
    <n v="1"/>
    <n v="4.4154999999999998"/>
    <n v="92.725499999999997"/>
    <x v="42"/>
    <d v="1899-12-30T17:38:00"/>
    <x v="2"/>
    <n v="88.31"/>
    <n v="4.7619047620000003"/>
    <n v="4.4154999999999998"/>
    <x v="53"/>
  </r>
  <r>
    <s v="397-25-8725"/>
    <s v="A"/>
    <x v="0"/>
    <x v="0"/>
    <s v="Female"/>
    <x v="0"/>
    <n v="39.619999999999997"/>
    <n v="9"/>
    <n v="17.829000000000001"/>
    <n v="374.40899999999999"/>
    <x v="50"/>
    <d v="1899-12-30T17:54:00"/>
    <x v="2"/>
    <n v="356.58"/>
    <n v="4.7619047620000003"/>
    <n v="17.829000000000001"/>
    <x v="11"/>
  </r>
  <r>
    <s v="431-66-2305"/>
    <s v="B"/>
    <x v="2"/>
    <x v="1"/>
    <s v="Female"/>
    <x v="1"/>
    <n v="88.25"/>
    <n v="9"/>
    <n v="39.712499999999999"/>
    <n v="833.96249999999998"/>
    <x v="42"/>
    <d v="1899-12-30T20:51:00"/>
    <x v="2"/>
    <n v="794.25"/>
    <n v="4.7619047620000003"/>
    <n v="39.712499999999999"/>
    <x v="29"/>
  </r>
  <r>
    <s v="825-94-5922"/>
    <s v="B"/>
    <x v="2"/>
    <x v="1"/>
    <s v="Male"/>
    <x v="3"/>
    <n v="25.31"/>
    <n v="2"/>
    <n v="2.5310000000000001"/>
    <n v="53.151000000000003"/>
    <x v="22"/>
    <d v="1899-12-30T19:26:00"/>
    <x v="0"/>
    <n v="50.62"/>
    <n v="4.7619047620000003"/>
    <n v="2.5310000000000001"/>
    <x v="8"/>
  </r>
  <r>
    <s v="641-62-7288"/>
    <s v="B"/>
    <x v="2"/>
    <x v="1"/>
    <s v="Male"/>
    <x v="2"/>
    <n v="99.92"/>
    <n v="6"/>
    <n v="29.975999999999999"/>
    <n v="629.49599999999998"/>
    <x v="62"/>
    <d v="1899-12-30T13:33:00"/>
    <x v="0"/>
    <n v="599.52"/>
    <n v="4.7619047620000003"/>
    <n v="29.975999999999999"/>
    <x v="12"/>
  </r>
  <r>
    <s v="756-93-1854"/>
    <s v="C"/>
    <x v="1"/>
    <x v="0"/>
    <s v="Female"/>
    <x v="5"/>
    <n v="83.35"/>
    <n v="2"/>
    <n v="8.3350000000000009"/>
    <n v="175.035"/>
    <x v="30"/>
    <d v="1899-12-30T14:05:00"/>
    <x v="2"/>
    <n v="166.7"/>
    <n v="4.7619047620000003"/>
    <n v="8.3350000000000009"/>
    <x v="33"/>
  </r>
  <r>
    <s v="243-55-8457"/>
    <s v="A"/>
    <x v="0"/>
    <x v="1"/>
    <s v="Female"/>
    <x v="4"/>
    <n v="74.44"/>
    <n v="10"/>
    <n v="37.22"/>
    <n v="781.62"/>
    <x v="33"/>
    <d v="1899-12-30T11:40:00"/>
    <x v="0"/>
    <n v="744.4"/>
    <n v="4.7619047620000003"/>
    <n v="37.22"/>
    <x v="20"/>
  </r>
  <r>
    <s v="458-10-8612"/>
    <s v="C"/>
    <x v="1"/>
    <x v="1"/>
    <s v="Male"/>
    <x v="0"/>
    <n v="64.08"/>
    <n v="7"/>
    <n v="22.428000000000001"/>
    <n v="470.988"/>
    <x v="40"/>
    <d v="1899-12-30T12:27:00"/>
    <x v="0"/>
    <n v="448.56"/>
    <n v="4.7619047620000003"/>
    <n v="22.428000000000001"/>
    <x v="29"/>
  </r>
  <r>
    <s v="501-61-1753"/>
    <s v="B"/>
    <x v="2"/>
    <x v="1"/>
    <s v="Female"/>
    <x v="2"/>
    <n v="63.15"/>
    <n v="6"/>
    <n v="18.945"/>
    <n v="397.84500000000003"/>
    <x v="75"/>
    <d v="1899-12-30T20:24:00"/>
    <x v="0"/>
    <n v="378.9"/>
    <n v="4.7619047620000003"/>
    <n v="18.945"/>
    <x v="57"/>
  </r>
  <r>
    <s v="235-06-8510"/>
    <s v="C"/>
    <x v="1"/>
    <x v="0"/>
    <s v="Male"/>
    <x v="2"/>
    <n v="85.72"/>
    <n v="3"/>
    <n v="12.858000000000001"/>
    <n v="270.01799999999997"/>
    <x v="46"/>
    <d v="1899-12-30T20:59:00"/>
    <x v="0"/>
    <n v="257.16000000000003"/>
    <n v="4.7619047620000003"/>
    <n v="12.858000000000001"/>
    <x v="20"/>
  </r>
  <r>
    <s v="433-08-7822"/>
    <s v="C"/>
    <x v="1"/>
    <x v="1"/>
    <s v="Female"/>
    <x v="0"/>
    <n v="78.89"/>
    <n v="7"/>
    <n v="27.611499999999999"/>
    <n v="579.8415"/>
    <x v="0"/>
    <d v="1899-12-30T19:48:00"/>
    <x v="0"/>
    <n v="552.23"/>
    <n v="4.7619047620000003"/>
    <n v="27.611499999999999"/>
    <x v="26"/>
  </r>
  <r>
    <s v="361-85-2571"/>
    <s v="A"/>
    <x v="0"/>
    <x v="1"/>
    <s v="Female"/>
    <x v="3"/>
    <n v="89.48"/>
    <n v="5"/>
    <n v="22.37"/>
    <n v="469.77"/>
    <x v="73"/>
    <d v="1899-12-30T10:18:00"/>
    <x v="1"/>
    <n v="447.4"/>
    <n v="4.7619047620000003"/>
    <n v="22.37"/>
    <x v="2"/>
  </r>
  <r>
    <s v="131-70-8179"/>
    <s v="A"/>
    <x v="0"/>
    <x v="0"/>
    <s v="Female"/>
    <x v="0"/>
    <n v="92.09"/>
    <n v="3"/>
    <n v="13.813499999999999"/>
    <n v="290.08350000000002"/>
    <x v="21"/>
    <d v="1899-12-30T16:27:00"/>
    <x v="1"/>
    <n v="276.27"/>
    <n v="4.7619047620000003"/>
    <n v="13.813499999999999"/>
    <x v="50"/>
  </r>
  <r>
    <s v="500-02-2261"/>
    <s v="C"/>
    <x v="1"/>
    <x v="1"/>
    <s v="Female"/>
    <x v="4"/>
    <n v="57.29"/>
    <n v="6"/>
    <n v="17.187000000000001"/>
    <n v="360.92700000000002"/>
    <x v="76"/>
    <d v="1899-12-30T17:04:00"/>
    <x v="0"/>
    <n v="343.74"/>
    <n v="4.7619047620000003"/>
    <n v="17.187000000000001"/>
    <x v="9"/>
  </r>
  <r>
    <s v="720-72-2436"/>
    <s v="A"/>
    <x v="0"/>
    <x v="1"/>
    <s v="Male"/>
    <x v="4"/>
    <n v="66.52"/>
    <n v="4"/>
    <n v="13.304"/>
    <n v="279.38400000000001"/>
    <x v="22"/>
    <d v="1899-12-30T18:14:00"/>
    <x v="0"/>
    <n v="266.08"/>
    <n v="4.7619047620000003"/>
    <n v="13.304"/>
    <x v="16"/>
  </r>
  <r>
    <s v="702-83-5291"/>
    <s v="C"/>
    <x v="1"/>
    <x v="0"/>
    <s v="Male"/>
    <x v="5"/>
    <n v="99.82"/>
    <n v="9"/>
    <n v="44.918999999999997"/>
    <n v="943.29899999999998"/>
    <x v="39"/>
    <d v="1899-12-30T10:43:00"/>
    <x v="1"/>
    <n v="898.38"/>
    <n v="4.7619047620000003"/>
    <n v="44.918999999999997"/>
    <x v="37"/>
  </r>
  <r>
    <s v="809-69-9497"/>
    <s v="A"/>
    <x v="0"/>
    <x v="1"/>
    <s v="Female"/>
    <x v="2"/>
    <n v="45.68"/>
    <n v="10"/>
    <n v="22.84"/>
    <n v="479.64"/>
    <x v="64"/>
    <d v="1899-12-30T19:30:00"/>
    <x v="0"/>
    <n v="456.8"/>
    <n v="4.7619047620000003"/>
    <n v="22.84"/>
    <x v="14"/>
  </r>
  <r>
    <s v="449-16-6770"/>
    <s v="A"/>
    <x v="0"/>
    <x v="1"/>
    <s v="Male"/>
    <x v="0"/>
    <n v="50.79"/>
    <n v="5"/>
    <n v="12.6975"/>
    <n v="266.64749999999998"/>
    <x v="88"/>
    <d v="1899-12-30T14:53:00"/>
    <x v="2"/>
    <n v="253.95"/>
    <n v="4.7619047620000003"/>
    <n v="12.6975"/>
    <x v="4"/>
  </r>
  <r>
    <s v="333-23-2632"/>
    <s v="A"/>
    <x v="0"/>
    <x v="0"/>
    <s v="Male"/>
    <x v="0"/>
    <n v="10.08"/>
    <n v="7"/>
    <n v="3.528"/>
    <n v="74.087999999999994"/>
    <x v="61"/>
    <d v="1899-12-30T20:14:00"/>
    <x v="1"/>
    <n v="70.56"/>
    <n v="4.7619047620000003"/>
    <n v="3.528"/>
    <x v="50"/>
  </r>
  <r>
    <s v="489-82-1237"/>
    <s v="A"/>
    <x v="0"/>
    <x v="1"/>
    <s v="Female"/>
    <x v="1"/>
    <n v="93.88"/>
    <n v="7"/>
    <n v="32.857999999999997"/>
    <n v="690.01800000000003"/>
    <x v="0"/>
    <d v="1899-12-30T11:51:00"/>
    <x v="2"/>
    <n v="657.16"/>
    <n v="4.7619047620000003"/>
    <n v="32.857999999999997"/>
    <x v="48"/>
  </r>
  <r>
    <s v="859-97-6048"/>
    <s v="C"/>
    <x v="1"/>
    <x v="0"/>
    <s v="Male"/>
    <x v="1"/>
    <n v="84.25"/>
    <n v="2"/>
    <n v="8.4250000000000007"/>
    <n v="176.92500000000001"/>
    <x v="58"/>
    <d v="1899-12-30T14:13:00"/>
    <x v="2"/>
    <n v="168.5"/>
    <n v="4.7619047620000003"/>
    <n v="8.4250000000000007"/>
    <x v="4"/>
  </r>
  <r>
    <s v="676-10-2200"/>
    <s v="B"/>
    <x v="2"/>
    <x v="0"/>
    <s v="Male"/>
    <x v="5"/>
    <n v="53.78"/>
    <n v="1"/>
    <n v="2.6890000000000001"/>
    <n v="56.469000000000001"/>
    <x v="36"/>
    <d v="1899-12-30T20:13:00"/>
    <x v="0"/>
    <n v="53.78"/>
    <n v="4.7619047620000003"/>
    <n v="2.6890000000000001"/>
    <x v="28"/>
  </r>
  <r>
    <s v="373-88-1424"/>
    <s v="C"/>
    <x v="1"/>
    <x v="0"/>
    <s v="Male"/>
    <x v="2"/>
    <n v="35.81"/>
    <n v="5"/>
    <n v="8.9525000000000006"/>
    <n v="188.0025"/>
    <x v="10"/>
    <d v="1899-12-30T18:44:00"/>
    <x v="0"/>
    <n v="179.05"/>
    <n v="4.7619047620000003"/>
    <n v="8.9525000000000006"/>
    <x v="30"/>
  </r>
  <r>
    <s v="365-16-4334"/>
    <s v="B"/>
    <x v="2"/>
    <x v="1"/>
    <s v="Female"/>
    <x v="4"/>
    <n v="26.43"/>
    <n v="8"/>
    <n v="10.571999999999999"/>
    <n v="222.012"/>
    <x v="7"/>
    <d v="1899-12-30T14:26:00"/>
    <x v="0"/>
    <n v="211.44"/>
    <n v="4.7619047620000003"/>
    <n v="10.571999999999999"/>
    <x v="60"/>
  </r>
  <r>
    <s v="503-21-4385"/>
    <s v="B"/>
    <x v="2"/>
    <x v="0"/>
    <s v="Male"/>
    <x v="0"/>
    <n v="39.909999999999997"/>
    <n v="3"/>
    <n v="5.9865000000000004"/>
    <n v="125.7165"/>
    <x v="81"/>
    <d v="1899-12-30T12:40:00"/>
    <x v="0"/>
    <n v="119.73"/>
    <n v="4.7619047620000003"/>
    <n v="5.9865000000000004"/>
    <x v="39"/>
  </r>
  <r>
    <s v="305-89-2768"/>
    <s v="B"/>
    <x v="2"/>
    <x v="0"/>
    <s v="Female"/>
    <x v="2"/>
    <n v="21.9"/>
    <n v="3"/>
    <n v="3.2850000000000001"/>
    <n v="68.984999999999999"/>
    <x v="51"/>
    <d v="1899-12-30T18:43:00"/>
    <x v="0"/>
    <n v="65.7"/>
    <n v="4.7619047620000003"/>
    <n v="3.2850000000000001"/>
    <x v="28"/>
  </r>
  <r>
    <s v="574-80-1489"/>
    <s v="B"/>
    <x v="2"/>
    <x v="0"/>
    <s v="Female"/>
    <x v="4"/>
    <n v="62.85"/>
    <n v="4"/>
    <n v="12.57"/>
    <n v="263.97000000000003"/>
    <x v="6"/>
    <d v="1899-12-30T13:22:00"/>
    <x v="0"/>
    <n v="251.4"/>
    <n v="4.7619047620000003"/>
    <n v="12.57"/>
    <x v="44"/>
  </r>
  <r>
    <s v="784-08-0310"/>
    <s v="C"/>
    <x v="1"/>
    <x v="0"/>
    <s v="Female"/>
    <x v="4"/>
    <n v="21.04"/>
    <n v="4"/>
    <n v="4.2080000000000002"/>
    <n v="88.367999999999995"/>
    <x v="50"/>
    <d v="1899-12-30T13:58:00"/>
    <x v="1"/>
    <n v="84.16"/>
    <n v="4.7619047620000003"/>
    <n v="4.2080000000000002"/>
    <x v="29"/>
  </r>
  <r>
    <s v="200-40-6154"/>
    <s v="B"/>
    <x v="2"/>
    <x v="0"/>
    <s v="Male"/>
    <x v="2"/>
    <n v="65.91"/>
    <n v="6"/>
    <n v="19.773"/>
    <n v="415.233"/>
    <x v="57"/>
    <d v="1899-12-30T11:45:00"/>
    <x v="1"/>
    <n v="395.46"/>
    <n v="4.7619047620000003"/>
    <n v="19.773"/>
    <x v="14"/>
  </r>
  <r>
    <s v="846-10-0341"/>
    <s v="A"/>
    <x v="0"/>
    <x v="1"/>
    <s v="Female"/>
    <x v="5"/>
    <n v="42.57"/>
    <n v="7"/>
    <n v="14.8995"/>
    <n v="312.8895"/>
    <x v="47"/>
    <d v="1899-12-30T11:51:00"/>
    <x v="1"/>
    <n v="297.99"/>
    <n v="4.7619047620000003"/>
    <n v="14.8995"/>
    <x v="11"/>
  </r>
  <r>
    <s v="577-34-7579"/>
    <s v="C"/>
    <x v="1"/>
    <x v="0"/>
    <s v="Male"/>
    <x v="4"/>
    <n v="50.49"/>
    <n v="9"/>
    <n v="22.720500000000001"/>
    <n v="477.13049999999998"/>
    <x v="8"/>
    <d v="1899-12-30T17:16:00"/>
    <x v="1"/>
    <n v="454.41"/>
    <n v="4.7619047620000003"/>
    <n v="22.720500000000001"/>
    <x v="38"/>
  </r>
  <r>
    <s v="430-02-3888"/>
    <s v="B"/>
    <x v="2"/>
    <x v="1"/>
    <s v="Male"/>
    <x v="1"/>
    <n v="46.02"/>
    <n v="6"/>
    <n v="13.805999999999999"/>
    <n v="289.92599999999999"/>
    <x v="13"/>
    <d v="1899-12-30T15:55:00"/>
    <x v="1"/>
    <n v="276.12"/>
    <n v="4.7619047620000003"/>
    <n v="13.805999999999999"/>
    <x v="12"/>
  </r>
  <r>
    <s v="867-47-1948"/>
    <s v="C"/>
    <x v="1"/>
    <x v="1"/>
    <s v="Female"/>
    <x v="2"/>
    <n v="15.8"/>
    <n v="10"/>
    <n v="7.9"/>
    <n v="165.9"/>
    <x v="51"/>
    <d v="1899-12-30T12:07:00"/>
    <x v="1"/>
    <n v="158"/>
    <n v="4.7619047620000003"/>
    <n v="7.9"/>
    <x v="52"/>
  </r>
  <r>
    <s v="384-59-6655"/>
    <s v="A"/>
    <x v="0"/>
    <x v="0"/>
    <s v="Female"/>
    <x v="4"/>
    <n v="98.66"/>
    <n v="9"/>
    <n v="44.396999999999998"/>
    <n v="932.33699999999999"/>
    <x v="88"/>
    <d v="1899-12-30T15:07:00"/>
    <x v="1"/>
    <n v="887.94"/>
    <n v="4.7619047620000003"/>
    <n v="44.396999999999998"/>
    <x v="3"/>
  </r>
  <r>
    <s v="256-58-3609"/>
    <s v="C"/>
    <x v="1"/>
    <x v="0"/>
    <s v="Male"/>
    <x v="5"/>
    <n v="91.98"/>
    <n v="1"/>
    <n v="4.5990000000000002"/>
    <n v="96.578999999999994"/>
    <x v="79"/>
    <d v="1899-12-30T15:29:00"/>
    <x v="1"/>
    <n v="91.98"/>
    <n v="4.7619047620000003"/>
    <n v="4.5990000000000002"/>
    <x v="57"/>
  </r>
  <r>
    <s v="324-92-3863"/>
    <s v="A"/>
    <x v="0"/>
    <x v="0"/>
    <s v="Male"/>
    <x v="1"/>
    <n v="20.89"/>
    <n v="2"/>
    <n v="2.089"/>
    <n v="43.869"/>
    <x v="63"/>
    <d v="1899-12-30T18:45:00"/>
    <x v="1"/>
    <n v="41.78"/>
    <n v="4.7619047620000003"/>
    <n v="2.089"/>
    <x v="57"/>
  </r>
  <r>
    <s v="593-08-5916"/>
    <s v="A"/>
    <x v="0"/>
    <x v="1"/>
    <s v="Female"/>
    <x v="5"/>
    <n v="15.5"/>
    <n v="1"/>
    <n v="0.77500000000000002"/>
    <n v="16.274999999999999"/>
    <x v="35"/>
    <d v="1899-12-30T15:23:00"/>
    <x v="2"/>
    <n v="15.5"/>
    <n v="4.7619047620000003"/>
    <n v="0.77500000000000002"/>
    <x v="2"/>
  </r>
  <r>
    <s v="364-34-2972"/>
    <s v="C"/>
    <x v="1"/>
    <x v="0"/>
    <s v="Male"/>
    <x v="1"/>
    <n v="96.82"/>
    <n v="3"/>
    <n v="14.523"/>
    <n v="304.983"/>
    <x v="73"/>
    <d v="1899-12-30T20:37:00"/>
    <x v="1"/>
    <n v="290.45999999999998"/>
    <n v="4.7619047620000003"/>
    <n v="14.523"/>
    <x v="24"/>
  </r>
  <r>
    <s v="794-42-3736"/>
    <s v="B"/>
    <x v="2"/>
    <x v="1"/>
    <s v="Male"/>
    <x v="4"/>
    <n v="33.33"/>
    <n v="2"/>
    <n v="3.3330000000000002"/>
    <n v="69.992999999999995"/>
    <x v="53"/>
    <d v="1899-12-30T14:41:00"/>
    <x v="2"/>
    <n v="66.66"/>
    <n v="4.7619047620000003"/>
    <n v="3.3330000000000002"/>
    <x v="41"/>
  </r>
  <r>
    <s v="172-42-8274"/>
    <s v="B"/>
    <x v="2"/>
    <x v="1"/>
    <s v="Female"/>
    <x v="1"/>
    <n v="38.270000000000003"/>
    <n v="2"/>
    <n v="3.827"/>
    <n v="80.367000000000004"/>
    <x v="22"/>
    <d v="1899-12-30T18:18:00"/>
    <x v="2"/>
    <n v="76.540000000000006"/>
    <n v="4.7619047620000003"/>
    <n v="3.827"/>
    <x v="6"/>
  </r>
  <r>
    <s v="558-60-5016"/>
    <s v="A"/>
    <x v="0"/>
    <x v="1"/>
    <s v="Female"/>
    <x v="2"/>
    <n v="33.299999999999997"/>
    <n v="9"/>
    <n v="14.984999999999999"/>
    <n v="314.685"/>
    <x v="31"/>
    <d v="1899-12-30T15:27:00"/>
    <x v="0"/>
    <n v="299.7"/>
    <n v="4.7619047620000003"/>
    <n v="14.984999999999999"/>
    <x v="8"/>
  </r>
  <r>
    <s v="195-06-0432"/>
    <s v="A"/>
    <x v="0"/>
    <x v="0"/>
    <s v="Male"/>
    <x v="2"/>
    <n v="81.010000000000005"/>
    <n v="3"/>
    <n v="12.1515"/>
    <n v="255.1815"/>
    <x v="50"/>
    <d v="1899-12-30T12:55:00"/>
    <x v="2"/>
    <n v="243.03"/>
    <n v="4.7619047620000003"/>
    <n v="12.1515"/>
    <x v="39"/>
  </r>
  <r>
    <s v="605-03-2706"/>
    <s v="A"/>
    <x v="0"/>
    <x v="1"/>
    <s v="Female"/>
    <x v="0"/>
    <n v="15.8"/>
    <n v="3"/>
    <n v="2.37"/>
    <n v="49.77"/>
    <x v="5"/>
    <d v="1899-12-30T18:02:00"/>
    <x v="1"/>
    <n v="47.4"/>
    <n v="4.7619047620000003"/>
    <n v="2.37"/>
    <x v="33"/>
  </r>
  <r>
    <s v="214-30-2776"/>
    <s v="B"/>
    <x v="2"/>
    <x v="0"/>
    <s v="Female"/>
    <x v="1"/>
    <n v="34.49"/>
    <n v="5"/>
    <n v="8.6225000000000005"/>
    <n v="181.07249999999999"/>
    <x v="16"/>
    <d v="1899-12-30T19:44:00"/>
    <x v="2"/>
    <n v="172.45"/>
    <n v="4.7619047620000003"/>
    <n v="8.6225000000000005"/>
    <x v="54"/>
  </r>
  <r>
    <s v="746-04-1077"/>
    <s v="B"/>
    <x v="2"/>
    <x v="0"/>
    <s v="Female"/>
    <x v="4"/>
    <n v="84.63"/>
    <n v="10"/>
    <n v="42.314999999999998"/>
    <n v="888.61500000000001"/>
    <x v="17"/>
    <d v="1899-12-30T11:36:00"/>
    <x v="2"/>
    <n v="846.3"/>
    <n v="4.7619047620000003"/>
    <n v="42.314999999999998"/>
    <x v="54"/>
  </r>
  <r>
    <s v="448-34-8700"/>
    <s v="B"/>
    <x v="2"/>
    <x v="0"/>
    <s v="Male"/>
    <x v="2"/>
    <n v="36.909999999999997"/>
    <n v="7"/>
    <n v="12.9185"/>
    <n v="271.2885"/>
    <x v="34"/>
    <d v="1899-12-30T13:51:00"/>
    <x v="0"/>
    <n v="258.37"/>
    <n v="4.7619047620000003"/>
    <n v="12.9185"/>
    <x v="24"/>
  </r>
  <r>
    <s v="452-04-8808"/>
    <s v="B"/>
    <x v="2"/>
    <x v="1"/>
    <s v="Male"/>
    <x v="1"/>
    <n v="87.08"/>
    <n v="7"/>
    <n v="30.478000000000002"/>
    <n v="640.03800000000001"/>
    <x v="53"/>
    <d v="1899-12-30T15:17:00"/>
    <x v="1"/>
    <n v="609.55999999999995"/>
    <n v="4.7619047620000003"/>
    <n v="30.478000000000002"/>
    <x v="46"/>
  </r>
  <r>
    <s v="531-56-4728"/>
    <s v="A"/>
    <x v="0"/>
    <x v="1"/>
    <s v="Male"/>
    <x v="2"/>
    <n v="80.08"/>
    <n v="3"/>
    <n v="12.012"/>
    <n v="252.25200000000001"/>
    <x v="48"/>
    <d v="1899-12-30T15:29:00"/>
    <x v="1"/>
    <n v="240.24"/>
    <n v="4.7619047620000003"/>
    <n v="12.012"/>
    <x v="38"/>
  </r>
  <r>
    <s v="744-82-9138"/>
    <s v="C"/>
    <x v="1"/>
    <x v="1"/>
    <s v="Male"/>
    <x v="5"/>
    <n v="86.13"/>
    <n v="2"/>
    <n v="8.6129999999999995"/>
    <n v="180.87299999999999"/>
    <x v="13"/>
    <d v="1899-12-30T17:59:00"/>
    <x v="1"/>
    <n v="172.26"/>
    <n v="4.7619047620000003"/>
    <n v="8.6129999999999995"/>
    <x v="13"/>
  </r>
  <r>
    <s v="883-69-1285"/>
    <s v="B"/>
    <x v="2"/>
    <x v="0"/>
    <s v="Male"/>
    <x v="5"/>
    <n v="49.92"/>
    <n v="2"/>
    <n v="4.992"/>
    <n v="104.83199999999999"/>
    <x v="43"/>
    <d v="1899-12-30T11:55:00"/>
    <x v="2"/>
    <n v="99.84"/>
    <n v="4.7619047620000003"/>
    <n v="4.992"/>
    <x v="27"/>
  </r>
  <r>
    <s v="221-25-5073"/>
    <s v="A"/>
    <x v="0"/>
    <x v="1"/>
    <s v="Female"/>
    <x v="4"/>
    <n v="74.66"/>
    <n v="4"/>
    <n v="14.932"/>
    <n v="313.572"/>
    <x v="31"/>
    <d v="1899-12-30T10:39:00"/>
    <x v="1"/>
    <n v="298.64"/>
    <n v="4.7619047620000003"/>
    <n v="14.932"/>
    <x v="23"/>
  </r>
  <r>
    <s v="518-71-6847"/>
    <s v="B"/>
    <x v="2"/>
    <x v="0"/>
    <s v="Male"/>
    <x v="4"/>
    <n v="26.6"/>
    <n v="6"/>
    <n v="7.98"/>
    <n v="167.58"/>
    <x v="84"/>
    <d v="1899-12-30T15:10:00"/>
    <x v="0"/>
    <n v="159.6"/>
    <n v="4.7619047620000003"/>
    <n v="7.98"/>
    <x v="49"/>
  </r>
  <r>
    <s v="156-20-0370"/>
    <s v="B"/>
    <x v="2"/>
    <x v="1"/>
    <s v="Female"/>
    <x v="1"/>
    <n v="25.45"/>
    <n v="1"/>
    <n v="1.2725"/>
    <n v="26.7225"/>
    <x v="24"/>
    <d v="1899-12-30T18:10:00"/>
    <x v="2"/>
    <n v="25.45"/>
    <n v="4.7619047620000003"/>
    <n v="1.2725"/>
    <x v="20"/>
  </r>
  <r>
    <s v="151-33-7434"/>
    <s v="B"/>
    <x v="2"/>
    <x v="1"/>
    <s v="Female"/>
    <x v="4"/>
    <n v="67.77"/>
    <n v="1"/>
    <n v="3.3885000000000001"/>
    <n v="71.158500000000004"/>
    <x v="87"/>
    <d v="1899-12-30T20:43:00"/>
    <x v="2"/>
    <n v="67.77"/>
    <n v="4.7619047620000003"/>
    <n v="3.3885000000000001"/>
    <x v="35"/>
  </r>
  <r>
    <s v="728-47-9078"/>
    <s v="C"/>
    <x v="1"/>
    <x v="0"/>
    <s v="Male"/>
    <x v="4"/>
    <n v="59.59"/>
    <n v="4"/>
    <n v="11.917999999999999"/>
    <n v="250.27799999999999"/>
    <x v="64"/>
    <d v="1899-12-30T12:46:00"/>
    <x v="1"/>
    <n v="238.36"/>
    <n v="4.7619047620000003"/>
    <n v="11.917999999999999"/>
    <x v="57"/>
  </r>
  <r>
    <s v="809-46-1866"/>
    <s v="A"/>
    <x v="0"/>
    <x v="1"/>
    <s v="Male"/>
    <x v="0"/>
    <n v="58.15"/>
    <n v="4"/>
    <n v="11.63"/>
    <n v="244.23"/>
    <x v="54"/>
    <d v="1899-12-30T17:44:00"/>
    <x v="1"/>
    <n v="232.6"/>
    <n v="4.7619047620000003"/>
    <n v="11.63"/>
    <x v="3"/>
  </r>
  <r>
    <s v="139-32-4183"/>
    <s v="A"/>
    <x v="0"/>
    <x v="0"/>
    <s v="Female"/>
    <x v="3"/>
    <n v="97.48"/>
    <n v="9"/>
    <n v="43.866"/>
    <n v="921.18600000000004"/>
    <x v="86"/>
    <d v="1899-12-30T14:19:00"/>
    <x v="0"/>
    <n v="877.32"/>
    <n v="4.7619047620000003"/>
    <n v="43.866"/>
    <x v="2"/>
  </r>
  <r>
    <s v="148-41-7930"/>
    <s v="C"/>
    <x v="1"/>
    <x v="1"/>
    <s v="Male"/>
    <x v="0"/>
    <n v="99.96"/>
    <n v="7"/>
    <n v="34.985999999999997"/>
    <n v="734.70600000000002"/>
    <x v="54"/>
    <d v="1899-12-30T10:33:00"/>
    <x v="1"/>
    <n v="699.72"/>
    <n v="4.7619047620000003"/>
    <n v="34.985999999999997"/>
    <x v="36"/>
  </r>
  <r>
    <s v="189-40-5216"/>
    <s v="C"/>
    <x v="1"/>
    <x v="1"/>
    <s v="Male"/>
    <x v="1"/>
    <n v="96.37"/>
    <n v="7"/>
    <n v="33.729500000000002"/>
    <n v="708.31949999999995"/>
    <x v="51"/>
    <d v="1899-12-30T11:40:00"/>
    <x v="1"/>
    <n v="674.59"/>
    <n v="4.7619047620000003"/>
    <n v="33.729500000000002"/>
    <x v="22"/>
  </r>
  <r>
    <s v="374-38-5555"/>
    <s v="B"/>
    <x v="2"/>
    <x v="1"/>
    <s v="Female"/>
    <x v="5"/>
    <n v="63.71"/>
    <n v="5"/>
    <n v="15.9275"/>
    <n v="334.47750000000002"/>
    <x v="13"/>
    <d v="1899-12-30T19:30:00"/>
    <x v="0"/>
    <n v="318.55"/>
    <n v="4.7619047620000003"/>
    <n v="15.9275"/>
    <x v="23"/>
  </r>
  <r>
    <s v="764-44-8999"/>
    <s v="B"/>
    <x v="2"/>
    <x v="1"/>
    <s v="Female"/>
    <x v="0"/>
    <n v="14.76"/>
    <n v="2"/>
    <n v="1.476"/>
    <n v="30.995999999999999"/>
    <x v="67"/>
    <d v="1899-12-30T14:42:00"/>
    <x v="0"/>
    <n v="29.52"/>
    <n v="4.7619047620000003"/>
    <n v="1.476"/>
    <x v="42"/>
  </r>
  <r>
    <s v="552-44-5977"/>
    <s v="B"/>
    <x v="2"/>
    <x v="0"/>
    <s v="Male"/>
    <x v="0"/>
    <n v="62"/>
    <n v="8"/>
    <n v="24.8"/>
    <n v="520.79999999999995"/>
    <x v="75"/>
    <d v="1899-12-30T19:08:00"/>
    <x v="2"/>
    <n v="496"/>
    <n v="4.7619047620000003"/>
    <n v="24.8"/>
    <x v="56"/>
  </r>
  <r>
    <s v="267-62-7380"/>
    <s v="C"/>
    <x v="1"/>
    <x v="0"/>
    <s v="Male"/>
    <x v="1"/>
    <n v="82.34"/>
    <n v="10"/>
    <n v="41.17"/>
    <n v="864.57"/>
    <x v="14"/>
    <d v="1899-12-30T19:12:00"/>
    <x v="0"/>
    <n v="823.4"/>
    <n v="4.7619047620000003"/>
    <n v="41.17"/>
    <x v="42"/>
  </r>
  <r>
    <s v="430-53-4718"/>
    <s v="B"/>
    <x v="2"/>
    <x v="0"/>
    <s v="Male"/>
    <x v="0"/>
    <n v="75.37"/>
    <n v="8"/>
    <n v="30.148"/>
    <n v="633.10799999999995"/>
    <x v="26"/>
    <d v="1899-12-30T15:46:00"/>
    <x v="2"/>
    <n v="602.96"/>
    <n v="4.7619047620000003"/>
    <n v="30.148"/>
    <x v="3"/>
  </r>
  <r>
    <s v="886-18-2897"/>
    <s v="A"/>
    <x v="0"/>
    <x v="1"/>
    <s v="Female"/>
    <x v="4"/>
    <n v="56.56"/>
    <n v="5"/>
    <n v="14.14"/>
    <n v="296.94"/>
    <x v="23"/>
    <d v="1899-12-30T19:06:00"/>
    <x v="2"/>
    <n v="282.8"/>
    <n v="4.7619047620000003"/>
    <n v="14.14"/>
    <x v="10"/>
  </r>
  <r>
    <s v="602-16-6955"/>
    <s v="B"/>
    <x v="2"/>
    <x v="1"/>
    <s v="Female"/>
    <x v="3"/>
    <n v="76.599999999999994"/>
    <n v="10"/>
    <n v="38.299999999999997"/>
    <n v="804.3"/>
    <x v="46"/>
    <d v="1899-12-30T18:10:00"/>
    <x v="0"/>
    <n v="766"/>
    <n v="4.7619047620000003"/>
    <n v="38.299999999999997"/>
    <x v="22"/>
  </r>
  <r>
    <s v="745-74-0715"/>
    <s v="A"/>
    <x v="0"/>
    <x v="1"/>
    <s v="Male"/>
    <x v="1"/>
    <n v="58.03"/>
    <n v="2"/>
    <n v="5.8029999999999999"/>
    <n v="121.863"/>
    <x v="24"/>
    <d v="1899-12-30T20:46:00"/>
    <x v="0"/>
    <n v="116.06"/>
    <n v="4.7619047620000003"/>
    <n v="5.8029999999999999"/>
    <x v="55"/>
  </r>
  <r>
    <s v="690-01-6631"/>
    <s v="B"/>
    <x v="2"/>
    <x v="1"/>
    <s v="Male"/>
    <x v="5"/>
    <n v="17.489999999999998"/>
    <n v="10"/>
    <n v="8.7449999999999992"/>
    <n v="183.64500000000001"/>
    <x v="70"/>
    <d v="1899-12-30T18:35:00"/>
    <x v="0"/>
    <n v="174.9"/>
    <n v="4.7619047620000003"/>
    <n v="8.7449999999999992"/>
    <x v="37"/>
  </r>
  <r>
    <s v="652-49-6720"/>
    <s v="C"/>
    <x v="1"/>
    <x v="0"/>
    <s v="Female"/>
    <x v="1"/>
    <n v="60.95"/>
    <n v="1"/>
    <n v="3.0474999999999999"/>
    <n v="63.997500000000002"/>
    <x v="67"/>
    <d v="1899-12-30T11:40:00"/>
    <x v="0"/>
    <n v="60.95"/>
    <n v="4.7619047620000003"/>
    <n v="3.0474999999999999"/>
    <x v="9"/>
  </r>
  <r>
    <s v="233-67-5758"/>
    <s v="C"/>
    <x v="1"/>
    <x v="1"/>
    <s v="Male"/>
    <x v="0"/>
    <n v="40.35"/>
    <n v="1"/>
    <n v="2.0175000000000001"/>
    <n v="42.3675"/>
    <x v="71"/>
    <d v="1899-12-30T13:46:00"/>
    <x v="0"/>
    <n v="40.35"/>
    <n v="4.7619047620000003"/>
    <n v="2.0175000000000001"/>
    <x v="56"/>
  </r>
  <r>
    <s v="303-96-2227"/>
    <s v="B"/>
    <x v="2"/>
    <x v="1"/>
    <s v="Female"/>
    <x v="2"/>
    <n v="97.38"/>
    <n v="10"/>
    <n v="48.69"/>
    <n v="1022.49"/>
    <x v="22"/>
    <d v="1899-12-30T17:16:00"/>
    <x v="0"/>
    <n v="973.8"/>
    <n v="4.7619047620000003"/>
    <n v="48.69"/>
    <x v="18"/>
  </r>
  <r>
    <s v="727-02-1313"/>
    <s v="A"/>
    <x v="0"/>
    <x v="0"/>
    <s v="Male"/>
    <x v="4"/>
    <n v="31.84"/>
    <n v="1"/>
    <n v="1.5920000000000001"/>
    <n v="33.432000000000002"/>
    <x v="57"/>
    <d v="1899-12-30T13:22:00"/>
    <x v="1"/>
    <n v="31.84"/>
    <n v="4.7619047620000003"/>
    <n v="1.5920000000000001"/>
    <x v="25"/>
  </r>
  <r>
    <s v="347-56-2442"/>
    <s v="A"/>
    <x v="0"/>
    <x v="1"/>
    <s v="Male"/>
    <x v="2"/>
    <n v="65.819999999999993"/>
    <n v="1"/>
    <n v="3.2909999999999999"/>
    <n v="69.111000000000004"/>
    <x v="70"/>
    <d v="1899-12-30T15:33:00"/>
    <x v="1"/>
    <n v="65.819999999999993"/>
    <n v="4.7619047620000003"/>
    <n v="3.2909999999999999"/>
    <x v="5"/>
  </r>
  <r>
    <s v="849-09-3807"/>
    <s v="A"/>
    <x v="0"/>
    <x v="0"/>
    <s v="Female"/>
    <x v="5"/>
    <n v="88.34"/>
    <n v="7"/>
    <n v="30.919"/>
    <n v="649.29899999999998"/>
    <x v="67"/>
    <d v="1899-12-30T13:28:0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CB00CB-4AC8-4529-B585-20E056190C5A}" name="PivotTable8"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2:B56" firstHeaderRow="1" firstDataRow="1" firstDataCol="1"/>
  <pivotFields count="19">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h="1" x="2"/>
        <item h="1"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Average of Rating" fld="16" subtotal="average" baseField="2" baseItem="0"/>
  </dataFields>
  <chartFormats count="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BB435-13EE-453E-AEE6-3A35E1EFFCC8}" name="PivotTable7"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5:B47"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dataField="1" showAll="0">
      <items count="4">
        <item x="1"/>
        <item h="1" x="2"/>
        <item h="1"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2">
    <i>
      <x/>
    </i>
    <i t="grand">
      <x/>
    </i>
  </rowItems>
  <colItems count="1">
    <i/>
  </colItems>
  <dataFields count="1">
    <dataField name="Count of Payment" fld="12" subtotal="count" baseField="0" baseItem="0"/>
  </dataFields>
  <chartFormats count="9">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E7298B-5334-455F-868E-C36D68B91EEB}" name="PivotTable6"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6:B43"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h="1" x="2"/>
        <item h="1" x="0"/>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69"/>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857149-A436-4412-8882-80E4BF5C02A0}" name="PivotTable5"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9:B32"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h="1" x="2"/>
        <item h="1" x="0"/>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0" baseItem="0" numFmtId="169"/>
  </dataFields>
  <formats count="1">
    <format dxfId="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FBF59B-9518-448B-8B3B-A08A77092F87}" name="PivotTable4"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h="1" x="2"/>
        <item h="1"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E84FAE-ED2A-47DD-A404-D2A01F0E0AF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9">
    <pivotField showAll="0"/>
    <pivotField showAll="0"/>
    <pivotField showAll="0"/>
    <pivotField showAll="0"/>
    <pivotField showAll="0"/>
    <pivotField showAll="0"/>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95250C-A4A9-4884-9FE3-FB444A70DB14}"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showAll="0"/>
    <pivotField showAll="0"/>
    <pivotField showAll="0"/>
    <pivotField showAll="0"/>
    <pivotField showAll="0"/>
    <pivotField showAll="0"/>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607021-7F52-4E75-A6A2-B8637971F2E0}"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pivotField showAll="0"/>
    <pivotField showAll="0"/>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487D7F-0500-4DFB-AC9F-869F97568DB0}" sourceName="City">
  <pivotTables>
    <pivotTable tabId="4" name="PivotTable8"/>
    <pivotTable tabId="4" name="PivotTable5"/>
    <pivotTable tabId="4" name="PivotTable4"/>
    <pivotTable tabId="4" name="PivotTable6"/>
    <pivotTable tabId="4" name="PivotTable7"/>
  </pivotTables>
  <data>
    <tabular pivotCacheId="79372171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F1A2921-E5BA-4FBA-848E-18CC6449742E}" sourceName="Customer type">
  <pivotTables>
    <pivotTable tabId="4" name="PivotTable8"/>
    <pivotTable tabId="4" name="PivotTable5"/>
    <pivotTable tabId="4" name="PivotTable4"/>
    <pivotTable tabId="4" name="PivotTable6"/>
    <pivotTable tabId="4" name="PivotTable7"/>
  </pivotTables>
  <data>
    <tabular pivotCacheId="7937217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E90E2A12-1AF9-4D28-A43F-1520A11AF1FF}" sourceName="Product line">
  <pivotTables>
    <pivotTable tabId="4" name="PivotTable8"/>
    <pivotTable tabId="4" name="PivotTable5"/>
    <pivotTable tabId="4" name="PivotTable4"/>
    <pivotTable tabId="4" name="PivotTable6"/>
    <pivotTable tabId="4" name="PivotTable7"/>
  </pivotTables>
  <data>
    <tabular pivotCacheId="793721710">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0B0EF12-4F37-44B0-8EE0-F7F4E061A4BE}" sourceName="Payment">
  <pivotTables>
    <pivotTable tabId="4" name="PivotTable8"/>
    <pivotTable tabId="4" name="PivotTable5"/>
    <pivotTable tabId="4" name="PivotTable4"/>
    <pivotTable tabId="4" name="PivotTable6"/>
    <pivotTable tabId="4" name="PivotTable7"/>
  </pivotTables>
  <data>
    <tabular pivotCacheId="793721710">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AF4D28D-0327-456C-83F8-E255A403753F}" cache="Slicer_City" caption="City" style="SlicerStyleLight2" rowHeight="241300"/>
  <slicer name="Customer type" xr10:uid="{5536D328-7804-4A2E-8F53-AC7A46A4DC5A}" cache="Slicer_Customer_type" caption="Customer type" style="SlicerStyleLight2" rowHeight="241300"/>
  <slicer name="Product line" xr10:uid="{A3DF8FE8-4285-4CEB-A655-C9C36C9EAFED}" cache="Slicer_Product_line" caption="Product line" startItem="1" style="SlicerStyleLight2" rowHeight="241300"/>
  <slicer name="Payment" xr10:uid="{A7542B24-E707-4A0A-A08A-18E2E8CACF59}" cache="Slicer_Payment" caption="Payment"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633959-CBE7-47CB-AA68-24DFBECDE137}" name="Table2" displayName="Table2" ref="A1:Q1001" totalsRowShown="0" headerRowDxfId="3" dataDxfId="4">
  <autoFilter ref="A1:Q1001" xr:uid="{00000000-0009-0000-0000-000000000000}"/>
  <tableColumns count="17">
    <tableColumn id="1" xr3:uid="{609B814B-9167-4DFB-B5D1-D1E8DE2BAC95}" name="Invoice ID" dataDxfId="21"/>
    <tableColumn id="2" xr3:uid="{523A881B-8662-42A2-993B-E6FD5D8C214C}" name="Branch" dataDxfId="20"/>
    <tableColumn id="3" xr3:uid="{82B60A3E-3927-4572-9315-6EA6FA068360}" name="City" dataDxfId="19"/>
    <tableColumn id="4" xr3:uid="{159C260C-AF26-4222-8628-A8852FDB0982}" name="Customer type" dataDxfId="18"/>
    <tableColumn id="5" xr3:uid="{3295C70E-1668-4050-BD4D-C51997D61F52}" name="Gender" dataDxfId="17"/>
    <tableColumn id="6" xr3:uid="{657AE300-E90B-4C18-B268-9EF29D628565}" name="Product line" dataDxfId="16"/>
    <tableColumn id="7" xr3:uid="{DF0AB4A0-F786-490F-9132-E725DFF0E81E}" name="Unit price" dataDxfId="15"/>
    <tableColumn id="8" xr3:uid="{D2CC703C-049A-4312-9216-B0E99F97CD7A}" name="Quantity" dataDxfId="14"/>
    <tableColumn id="9" xr3:uid="{BFC2DB69-39B7-48E5-A2FA-2E8B22913C1E}" name="Tax 5%" dataDxfId="13"/>
    <tableColumn id="10" xr3:uid="{709A2D0B-7CCC-46D7-A362-24BD5F5DB7DC}" name="Total" dataDxfId="12"/>
    <tableColumn id="11" xr3:uid="{5F057F46-83A9-487D-9643-7B4568A66FBD}" name="Date" dataDxfId="11"/>
    <tableColumn id="12" xr3:uid="{62730A3B-2860-4581-82DF-6CD3E2F462C4}" name="Time" dataDxfId="10"/>
    <tableColumn id="13" xr3:uid="{7990FB94-FB4B-4AA8-9485-95FB5272B603}" name="Payment" dataDxfId="9"/>
    <tableColumn id="14" xr3:uid="{A95C7C48-AC3A-4BB6-AD85-7A2E5E749581}" name="cogs" dataDxfId="8"/>
    <tableColumn id="15" xr3:uid="{651377E0-4675-4217-9C0D-3579F185E4D4}" name="gross margin percentage" dataDxfId="7"/>
    <tableColumn id="16" xr3:uid="{7F278F6A-FA37-4A11-B263-C839783603BA}" name="gross income" dataDxfId="6"/>
    <tableColumn id="17" xr3:uid="{336F78F7-A291-476F-96E0-98BBCFCB9FA0}" name="Rating" dataDxfId="5"/>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51DE5FC-EA3B-478D-9BB0-08BBF921E38B}" sourceName="Date">
  <pivotTables>
    <pivotTable tabId="4" name="PivotTable5"/>
    <pivotTable tabId="4" name="PivotTable4"/>
    <pivotTable tabId="4" name="PivotTable6"/>
    <pivotTable tabId="4" name="PivotTable7"/>
    <pivotTable tabId="4" name="PivotTable8"/>
  </pivotTables>
  <state minimalRefreshVersion="6" lastRefreshVersion="6" pivotCacheId="793721710"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6384E16-01E6-4DEE-961E-9C66D2C69E14}" cache="NativeTimeline_Date" caption="Date" level="2" selectionLevel="2" scrollPosition="2019-01-0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EBCC-9F27-46F3-B860-1500C415E335}">
  <dimension ref="A1:BN540"/>
  <sheetViews>
    <sheetView tabSelected="1" zoomScale="85" zoomScaleNormal="85" workbookViewId="0">
      <selection activeCell="AM43" sqref="AM43"/>
    </sheetView>
  </sheetViews>
  <sheetFormatPr defaultRowHeight="15" x14ac:dyDescent="0.25"/>
  <cols>
    <col min="10" max="10" width="20.7109375" customWidth="1"/>
    <col min="12" max="12" width="24.7109375" customWidth="1"/>
    <col min="14" max="14" width="30.7109375" customWidth="1"/>
    <col min="16" max="16" width="22.140625" customWidth="1"/>
    <col min="18" max="18" width="7" customWidth="1"/>
    <col min="21" max="21" width="9.140625" customWidth="1"/>
  </cols>
  <sheetData>
    <row r="1" spans="1:66"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row>
    <row r="2" spans="1:66"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row>
    <row r="3" spans="1:66" x14ac:dyDescent="0.25">
      <c r="A3" s="8"/>
      <c r="B3" s="9"/>
      <c r="C3" s="9"/>
      <c r="D3" s="9"/>
      <c r="E3" s="9"/>
      <c r="F3" s="9"/>
      <c r="G3" s="9"/>
      <c r="H3" s="9"/>
      <c r="I3" s="9"/>
      <c r="J3" s="9"/>
      <c r="K3" s="9"/>
      <c r="L3" s="9"/>
      <c r="M3" s="9"/>
      <c r="N3" s="9"/>
      <c r="O3" s="9"/>
      <c r="P3" s="9"/>
      <c r="Q3" s="9"/>
      <c r="R3" s="9"/>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row>
    <row r="4" spans="1:66" ht="15.75" thickBot="1" x14ac:dyDescent="0.3">
      <c r="A4" s="8"/>
      <c r="B4" s="17" t="s">
        <v>1036</v>
      </c>
      <c r="C4" s="18"/>
      <c r="D4" s="18"/>
      <c r="E4" s="18"/>
      <c r="F4" s="18"/>
      <c r="G4" s="18"/>
      <c r="H4" s="18"/>
      <c r="I4" s="18"/>
      <c r="J4" s="19"/>
      <c r="K4" s="20"/>
      <c r="L4" s="21"/>
      <c r="M4" s="21"/>
      <c r="N4" s="21"/>
      <c r="O4" s="21"/>
      <c r="P4" s="21"/>
      <c r="Q4" s="21"/>
      <c r="R4" s="21"/>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row>
    <row r="5" spans="1:66" ht="30" x14ac:dyDescent="0.25">
      <c r="A5" s="8"/>
      <c r="B5" s="18"/>
      <c r="C5" s="18"/>
      <c r="D5" s="18"/>
      <c r="E5" s="18"/>
      <c r="F5" s="18"/>
      <c r="G5" s="18"/>
      <c r="H5" s="18"/>
      <c r="I5" s="18"/>
      <c r="J5" s="26" t="s">
        <v>1037</v>
      </c>
      <c r="K5" s="21"/>
      <c r="L5" s="27" t="s">
        <v>1038</v>
      </c>
      <c r="M5" s="21"/>
      <c r="N5" s="28" t="s">
        <v>1039</v>
      </c>
      <c r="O5" s="21"/>
      <c r="P5" s="28" t="s">
        <v>1040</v>
      </c>
      <c r="Q5" s="21"/>
      <c r="R5" s="21"/>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row>
    <row r="6" spans="1:66" ht="23.25" customHeight="1" thickBot="1" x14ac:dyDescent="0.4">
      <c r="A6" s="8"/>
      <c r="B6" s="18"/>
      <c r="C6" s="18"/>
      <c r="D6" s="18"/>
      <c r="E6" s="18"/>
      <c r="F6" s="18"/>
      <c r="G6" s="18"/>
      <c r="H6" s="18"/>
      <c r="I6" s="18"/>
      <c r="J6" s="22">
        <f>GETPIVOTDATA("Total",'Analisis Pivot'!$A$3)</f>
        <v>322966.74900000007</v>
      </c>
      <c r="K6" s="21"/>
      <c r="L6" s="23">
        <f>GETPIVOTDATA("Quantity",'Analisis Pivot'!$A$7)</f>
        <v>5510</v>
      </c>
      <c r="M6" s="21"/>
      <c r="N6" s="24">
        <f>GETPIVOTDATA("cogs",'Analisis Pivot'!$A$11)</f>
        <v>307587.38000000035</v>
      </c>
      <c r="O6" s="21"/>
      <c r="P6" s="25">
        <f>GETPIVOTDATA("Rating",'Analisis Pivot'!$A$15)</f>
        <v>6.9700581395348804</v>
      </c>
      <c r="Q6" s="21"/>
      <c r="R6" s="21"/>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row>
    <row r="7" spans="1:66" x14ac:dyDescent="0.25">
      <c r="A7" s="8"/>
      <c r="B7" s="18"/>
      <c r="C7" s="18"/>
      <c r="D7" s="18"/>
      <c r="E7" s="18"/>
      <c r="F7" s="18"/>
      <c r="G7" s="18"/>
      <c r="H7" s="18"/>
      <c r="I7" s="18"/>
      <c r="J7" s="21"/>
      <c r="K7" s="21"/>
      <c r="L7" s="21"/>
      <c r="M7" s="21"/>
      <c r="N7" s="21"/>
      <c r="O7" s="21"/>
      <c r="P7" s="21"/>
      <c r="Q7" s="21"/>
      <c r="R7" s="21"/>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row>
    <row r="8" spans="1:66" x14ac:dyDescent="0.25">
      <c r="A8" s="8"/>
      <c r="B8" s="10"/>
      <c r="C8" s="10"/>
      <c r="D8" s="10"/>
      <c r="E8" s="10"/>
      <c r="F8" s="10"/>
      <c r="G8" s="10"/>
      <c r="H8" s="10"/>
      <c r="I8" s="10"/>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row>
    <row r="9" spans="1:66"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row>
    <row r="10" spans="1:66" x14ac:dyDescent="0.25">
      <c r="A10" s="8"/>
      <c r="B10" s="8"/>
      <c r="C10" s="8"/>
      <c r="D10" s="8"/>
      <c r="E10" s="11"/>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row>
    <row r="11" spans="1:6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row>
    <row r="12" spans="1:6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row>
    <row r="13" spans="1:6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row>
    <row r="14" spans="1:6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row>
    <row r="15" spans="1:6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row>
    <row r="16" spans="1:6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row>
    <row r="17" spans="1:6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row>
    <row r="18" spans="1:6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row>
    <row r="19" spans="1:6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row>
    <row r="20" spans="1:6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row>
    <row r="21" spans="1:6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row>
    <row r="22" spans="1:6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row>
    <row r="23" spans="1:6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row>
    <row r="24" spans="1:6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row>
    <row r="25" spans="1:6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row>
    <row r="26" spans="1:6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row>
    <row r="27" spans="1:6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row>
    <row r="28" spans="1:6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row>
    <row r="29" spans="1:6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row>
    <row r="30" spans="1:6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row>
    <row r="31" spans="1:6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row>
    <row r="32" spans="1:6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row>
    <row r="33" spans="1:6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row>
    <row r="34" spans="1:6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row>
    <row r="35" spans="1:6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row>
    <row r="36" spans="1:6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row>
    <row r="37" spans="1:6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row>
    <row r="38" spans="1:6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row>
    <row r="39" spans="1:6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row>
    <row r="40" spans="1:6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row>
    <row r="41" spans="1:66"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row>
    <row r="42" spans="1:66"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row>
    <row r="43" spans="1:66"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row>
    <row r="44" spans="1:66"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row>
    <row r="45" spans="1:66"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row>
    <row r="46" spans="1:66"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row>
    <row r="47" spans="1:66"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row>
    <row r="48" spans="1:66"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row>
    <row r="49" spans="1:66"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row>
    <row r="50" spans="1:66"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row>
    <row r="51" spans="1:66"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row>
    <row r="52" spans="1:66"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row>
    <row r="53" spans="1:66"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row>
    <row r="54" spans="1:66"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row>
    <row r="55" spans="1:66"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row>
    <row r="56" spans="1:66"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row>
    <row r="57" spans="1:66"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row>
    <row r="58" spans="1:66"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row>
    <row r="59" spans="1:66"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6"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row>
    <row r="61" spans="1:66"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row>
    <row r="62" spans="1:66"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row>
    <row r="63" spans="1:66"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row>
    <row r="64" spans="1:66"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row>
    <row r="65" spans="1:66"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row>
    <row r="66" spans="1:66"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row>
    <row r="67" spans="1:66"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row>
    <row r="68" spans="1:66"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row>
    <row r="69" spans="1:66"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row>
    <row r="70" spans="1:66"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row>
    <row r="71" spans="1:66"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row>
    <row r="72" spans="1:66"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row>
    <row r="73" spans="1:66"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row>
    <row r="74" spans="1:66"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row>
    <row r="75" spans="1:66"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row>
    <row r="76" spans="1:66"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row>
    <row r="77" spans="1:66"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row>
    <row r="78" spans="1:66"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row>
    <row r="79" spans="1:66"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row>
    <row r="80" spans="1:66"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row>
    <row r="81" spans="1:66"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row>
    <row r="82" spans="1:66"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row>
    <row r="83" spans="1:66"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row>
    <row r="84" spans="1:66"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row>
    <row r="85" spans="1:66"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row>
    <row r="86" spans="1:66"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row>
    <row r="87" spans="1:66"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row>
    <row r="88" spans="1:66"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row>
    <row r="89" spans="1:66"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row>
    <row r="90" spans="1:66"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row>
    <row r="91" spans="1:66"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row>
    <row r="92" spans="1:66"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row>
    <row r="93" spans="1:66"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row>
    <row r="94" spans="1:66"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row>
    <row r="95" spans="1:66"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row>
    <row r="96" spans="1:66"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row>
    <row r="97" spans="1:66"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row>
    <row r="98" spans="1:66"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row>
    <row r="99" spans="1:66"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row>
    <row r="100" spans="1:66"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row>
    <row r="101" spans="1:66"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row>
    <row r="102" spans="1:66"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row>
    <row r="103" spans="1:66"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row>
    <row r="104" spans="1:66"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row>
    <row r="105" spans="1:66"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row>
    <row r="106" spans="1:66"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row>
    <row r="107" spans="1:66"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row>
    <row r="108" spans="1:66"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row>
    <row r="109" spans="1:66"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row>
    <row r="110" spans="1:66"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row>
    <row r="111" spans="1:66"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row>
    <row r="112" spans="1:66"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row>
    <row r="113" spans="1:66"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row>
    <row r="114" spans="1:66"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row>
    <row r="115" spans="1:66"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row>
    <row r="116" spans="1:66"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row>
    <row r="117" spans="1:66"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row>
    <row r="118" spans="1:66"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row>
    <row r="119" spans="1:6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row>
    <row r="120" spans="1:66"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row>
    <row r="121" spans="1:66"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row>
    <row r="122" spans="1:66"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row>
    <row r="123" spans="1:66"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row>
    <row r="124" spans="1:66"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row>
    <row r="125" spans="1:66"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row>
    <row r="126" spans="1:66"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row>
    <row r="127" spans="1:66"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row>
    <row r="128" spans="1:66"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row>
    <row r="129" spans="1:66"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row>
    <row r="130" spans="1:66"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row>
    <row r="131" spans="1:66"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row>
    <row r="132" spans="1:66"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row>
    <row r="133" spans="1:66"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row>
    <row r="134" spans="1:66"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row>
    <row r="135" spans="1:66"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row>
    <row r="136" spans="1:66"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row>
    <row r="137" spans="1:66"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row>
    <row r="138" spans="1:66"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row>
    <row r="139" spans="1:66"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row>
    <row r="140" spans="1:66"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row>
    <row r="141" spans="1:66"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row>
    <row r="142" spans="1:66"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row>
    <row r="143" spans="1:6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row>
    <row r="144" spans="1:66"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row>
    <row r="145" spans="1:6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row>
    <row r="146" spans="1:66"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row>
    <row r="147" spans="1:66"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row>
    <row r="148" spans="1:66"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row>
    <row r="149" spans="1:66"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row>
    <row r="150" spans="1:66"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row>
    <row r="151" spans="1:66"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row>
    <row r="152" spans="1:6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row>
    <row r="153" spans="1:66"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row>
    <row r="154" spans="1:66" x14ac:dyDescent="0.25">
      <c r="A154" s="8"/>
      <c r="B154" s="8"/>
      <c r="C154" s="8"/>
      <c r="D154" s="8"/>
      <c r="E154" s="8"/>
      <c r="F154" s="8"/>
      <c r="G154" s="8"/>
      <c r="H154" s="8"/>
      <c r="I154" s="8"/>
      <c r="J154" s="8"/>
      <c r="K154" s="8"/>
      <c r="L154" s="8"/>
      <c r="M154" s="8"/>
      <c r="N154" s="8"/>
      <c r="O154" s="8"/>
      <c r="P154" s="8"/>
      <c r="Q154" s="8"/>
      <c r="R154" s="8"/>
      <c r="S154" s="8"/>
      <c r="T154" s="8"/>
      <c r="U154" s="8"/>
      <c r="V154" s="8"/>
      <c r="W154" s="8"/>
    </row>
    <row r="155" spans="1:66" x14ac:dyDescent="0.25">
      <c r="A155" s="8"/>
      <c r="B155" s="8"/>
      <c r="C155" s="8"/>
      <c r="D155" s="8"/>
      <c r="E155" s="8"/>
      <c r="F155" s="8"/>
      <c r="G155" s="8"/>
      <c r="H155" s="8"/>
      <c r="I155" s="8"/>
      <c r="J155" s="8"/>
      <c r="K155" s="8"/>
      <c r="L155" s="8"/>
      <c r="M155" s="8"/>
      <c r="N155" s="8"/>
      <c r="O155" s="8"/>
      <c r="P155" s="8"/>
      <c r="Q155" s="8"/>
      <c r="R155" s="8"/>
      <c r="S155" s="8"/>
      <c r="T155" s="8"/>
      <c r="U155" s="8"/>
      <c r="V155" s="8"/>
      <c r="W155" s="8"/>
    </row>
    <row r="156" spans="1:66" x14ac:dyDescent="0.25">
      <c r="A156" s="8"/>
      <c r="B156" s="8"/>
      <c r="C156" s="8"/>
      <c r="D156" s="8"/>
      <c r="E156" s="8"/>
      <c r="F156" s="8"/>
      <c r="G156" s="8"/>
      <c r="H156" s="8"/>
      <c r="I156" s="8"/>
      <c r="J156" s="8"/>
      <c r="K156" s="8"/>
      <c r="L156" s="8"/>
      <c r="M156" s="8"/>
      <c r="N156" s="8"/>
      <c r="O156" s="8"/>
      <c r="P156" s="8"/>
      <c r="Q156" s="8"/>
      <c r="R156" s="8"/>
      <c r="S156" s="8"/>
      <c r="T156" s="8"/>
      <c r="U156" s="8"/>
      <c r="V156" s="8"/>
      <c r="W156" s="8"/>
    </row>
    <row r="157" spans="1:66" x14ac:dyDescent="0.25">
      <c r="A157" s="8"/>
      <c r="B157" s="8"/>
      <c r="C157" s="8"/>
      <c r="D157" s="8"/>
      <c r="E157" s="8"/>
      <c r="F157" s="8"/>
      <c r="G157" s="8"/>
      <c r="H157" s="8"/>
      <c r="I157" s="8"/>
      <c r="J157" s="8"/>
      <c r="K157" s="8"/>
      <c r="L157" s="8"/>
      <c r="M157" s="8"/>
      <c r="N157" s="8"/>
      <c r="O157" s="8"/>
      <c r="P157" s="8"/>
      <c r="Q157" s="8"/>
      <c r="R157" s="8"/>
      <c r="S157" s="8"/>
      <c r="T157" s="8"/>
      <c r="U157" s="8"/>
      <c r="V157" s="8"/>
      <c r="W157" s="8"/>
    </row>
    <row r="158" spans="1:66" x14ac:dyDescent="0.25">
      <c r="A158" s="8"/>
      <c r="B158" s="8"/>
      <c r="C158" s="8"/>
      <c r="D158" s="8"/>
      <c r="E158" s="8"/>
      <c r="F158" s="8"/>
      <c r="G158" s="8"/>
      <c r="H158" s="8"/>
      <c r="I158" s="8"/>
      <c r="J158" s="8"/>
      <c r="K158" s="8"/>
      <c r="L158" s="8"/>
      <c r="M158" s="8"/>
      <c r="N158" s="8"/>
      <c r="O158" s="8"/>
      <c r="P158" s="8"/>
      <c r="Q158" s="8"/>
      <c r="R158" s="8"/>
      <c r="S158" s="8"/>
      <c r="T158" s="8"/>
      <c r="U158" s="8"/>
      <c r="V158" s="8"/>
      <c r="W158" s="8"/>
    </row>
    <row r="159" spans="1:66" x14ac:dyDescent="0.25">
      <c r="A159" s="8"/>
      <c r="B159" s="8"/>
      <c r="C159" s="8"/>
      <c r="D159" s="8"/>
      <c r="E159" s="8"/>
      <c r="F159" s="8"/>
      <c r="G159" s="8"/>
      <c r="H159" s="8"/>
      <c r="I159" s="8"/>
      <c r="J159" s="8"/>
      <c r="K159" s="8"/>
      <c r="L159" s="8"/>
      <c r="M159" s="8"/>
      <c r="N159" s="8"/>
      <c r="O159" s="8"/>
      <c r="P159" s="8"/>
      <c r="Q159" s="8"/>
      <c r="R159" s="8"/>
      <c r="S159" s="8"/>
      <c r="T159" s="8"/>
      <c r="U159" s="8"/>
      <c r="V159" s="8"/>
      <c r="W159" s="8"/>
    </row>
    <row r="160" spans="1:66" x14ac:dyDescent="0.25">
      <c r="A160" s="8"/>
      <c r="B160" s="8"/>
      <c r="C160" s="8"/>
      <c r="D160" s="8"/>
      <c r="E160" s="8"/>
      <c r="F160" s="8"/>
      <c r="G160" s="8"/>
      <c r="H160" s="8"/>
      <c r="I160" s="8"/>
      <c r="J160" s="8"/>
      <c r="K160" s="8"/>
      <c r="L160" s="8"/>
      <c r="M160" s="8"/>
      <c r="N160" s="8"/>
      <c r="O160" s="8"/>
      <c r="P160" s="8"/>
      <c r="Q160" s="8"/>
      <c r="R160" s="8"/>
      <c r="S160" s="8"/>
      <c r="T160" s="8"/>
      <c r="U160" s="8"/>
      <c r="V160" s="8"/>
      <c r="W160" s="8"/>
    </row>
    <row r="161" spans="1:23" x14ac:dyDescent="0.25">
      <c r="A161" s="8"/>
      <c r="B161" s="8"/>
      <c r="C161" s="8"/>
      <c r="D161" s="8"/>
      <c r="E161" s="8"/>
      <c r="F161" s="8"/>
      <c r="G161" s="8"/>
      <c r="H161" s="8"/>
      <c r="I161" s="8"/>
      <c r="J161" s="8"/>
      <c r="K161" s="8"/>
      <c r="L161" s="8"/>
      <c r="M161" s="8"/>
      <c r="N161" s="8"/>
      <c r="O161" s="8"/>
      <c r="P161" s="8"/>
      <c r="Q161" s="8"/>
      <c r="R161" s="8"/>
      <c r="S161" s="8"/>
      <c r="T161" s="8"/>
      <c r="U161" s="8"/>
      <c r="V161" s="8"/>
      <c r="W161" s="8"/>
    </row>
    <row r="162" spans="1:23" x14ac:dyDescent="0.25">
      <c r="A162" s="8"/>
      <c r="B162" s="8"/>
      <c r="C162" s="8"/>
      <c r="D162" s="8"/>
      <c r="E162" s="8"/>
      <c r="F162" s="8"/>
      <c r="G162" s="8"/>
      <c r="H162" s="8"/>
      <c r="I162" s="8"/>
      <c r="J162" s="8"/>
      <c r="K162" s="8"/>
      <c r="L162" s="8"/>
      <c r="M162" s="8"/>
      <c r="N162" s="8"/>
      <c r="O162" s="8"/>
      <c r="P162" s="8"/>
      <c r="Q162" s="8"/>
      <c r="R162" s="8"/>
      <c r="S162" s="8"/>
      <c r="T162" s="8"/>
      <c r="U162" s="8"/>
      <c r="V162" s="8"/>
      <c r="W162" s="8"/>
    </row>
    <row r="163" spans="1:23" x14ac:dyDescent="0.25">
      <c r="A163" s="8"/>
      <c r="B163" s="8"/>
      <c r="C163" s="8"/>
      <c r="D163" s="8"/>
      <c r="E163" s="8"/>
      <c r="F163" s="8"/>
      <c r="G163" s="8"/>
      <c r="H163" s="8"/>
      <c r="I163" s="8"/>
      <c r="J163" s="8"/>
      <c r="K163" s="8"/>
      <c r="L163" s="8"/>
      <c r="M163" s="8"/>
      <c r="N163" s="8"/>
      <c r="O163" s="8"/>
      <c r="P163" s="8"/>
      <c r="Q163" s="8"/>
      <c r="R163" s="8"/>
      <c r="S163" s="8"/>
      <c r="T163" s="8"/>
      <c r="U163" s="8"/>
      <c r="V163" s="8"/>
      <c r="W163" s="8"/>
    </row>
    <row r="164" spans="1:23" x14ac:dyDescent="0.25">
      <c r="A164" s="8"/>
      <c r="B164" s="8"/>
      <c r="C164" s="8"/>
      <c r="D164" s="8"/>
      <c r="E164" s="8"/>
      <c r="F164" s="8"/>
      <c r="G164" s="8"/>
      <c r="H164" s="8"/>
      <c r="I164" s="8"/>
      <c r="J164" s="8"/>
      <c r="K164" s="8"/>
      <c r="L164" s="8"/>
      <c r="M164" s="8"/>
      <c r="N164" s="8"/>
      <c r="O164" s="8"/>
      <c r="P164" s="8"/>
      <c r="Q164" s="8"/>
      <c r="R164" s="8"/>
      <c r="S164" s="8"/>
      <c r="T164" s="8"/>
      <c r="U164" s="8"/>
      <c r="V164" s="8"/>
      <c r="W164" s="8"/>
    </row>
    <row r="165" spans="1:23" x14ac:dyDescent="0.25">
      <c r="A165" s="8"/>
      <c r="B165" s="8"/>
      <c r="C165" s="8"/>
      <c r="D165" s="8"/>
      <c r="E165" s="8"/>
      <c r="F165" s="8"/>
      <c r="G165" s="8"/>
      <c r="H165" s="8"/>
      <c r="I165" s="8"/>
      <c r="J165" s="8"/>
      <c r="K165" s="8"/>
      <c r="L165" s="8"/>
      <c r="M165" s="8"/>
      <c r="N165" s="8"/>
      <c r="O165" s="8"/>
      <c r="P165" s="8"/>
      <c r="Q165" s="8"/>
      <c r="R165" s="8"/>
      <c r="S165" s="8"/>
      <c r="T165" s="8"/>
      <c r="U165" s="8"/>
      <c r="V165" s="8"/>
      <c r="W165" s="8"/>
    </row>
    <row r="166" spans="1:23" x14ac:dyDescent="0.25">
      <c r="A166" s="8"/>
      <c r="B166" s="8"/>
      <c r="C166" s="8"/>
      <c r="D166" s="8"/>
      <c r="E166" s="8"/>
      <c r="F166" s="8"/>
      <c r="G166" s="8"/>
      <c r="H166" s="8"/>
      <c r="I166" s="8"/>
      <c r="J166" s="8"/>
      <c r="K166" s="8"/>
      <c r="L166" s="8"/>
      <c r="M166" s="8"/>
      <c r="N166" s="8"/>
      <c r="O166" s="8"/>
      <c r="P166" s="8"/>
      <c r="Q166" s="8"/>
      <c r="R166" s="8"/>
      <c r="S166" s="8"/>
      <c r="T166" s="8"/>
      <c r="U166" s="8"/>
      <c r="V166" s="8"/>
      <c r="W166" s="8"/>
    </row>
    <row r="167" spans="1:23" x14ac:dyDescent="0.25">
      <c r="A167" s="8"/>
      <c r="B167" s="8"/>
      <c r="C167" s="8"/>
      <c r="D167" s="8"/>
      <c r="E167" s="8"/>
      <c r="F167" s="8"/>
      <c r="G167" s="8"/>
      <c r="H167" s="8"/>
      <c r="I167" s="8"/>
      <c r="J167" s="8"/>
      <c r="K167" s="8"/>
      <c r="L167" s="8"/>
      <c r="M167" s="8"/>
      <c r="N167" s="8"/>
      <c r="O167" s="8"/>
      <c r="P167" s="8"/>
      <c r="Q167" s="8"/>
      <c r="R167" s="8"/>
      <c r="S167" s="8"/>
      <c r="T167" s="8"/>
      <c r="U167" s="8"/>
      <c r="V167" s="8"/>
      <c r="W167" s="8"/>
    </row>
    <row r="168" spans="1:23" x14ac:dyDescent="0.25">
      <c r="A168" s="8"/>
      <c r="B168" s="8"/>
      <c r="C168" s="8"/>
      <c r="D168" s="8"/>
      <c r="E168" s="8"/>
      <c r="F168" s="8"/>
      <c r="G168" s="8"/>
      <c r="H168" s="8"/>
      <c r="I168" s="8"/>
      <c r="J168" s="8"/>
      <c r="K168" s="8"/>
      <c r="L168" s="8"/>
      <c r="M168" s="8"/>
      <c r="N168" s="8"/>
      <c r="O168" s="8"/>
      <c r="P168" s="8"/>
      <c r="Q168" s="8"/>
      <c r="R168" s="8"/>
      <c r="S168" s="8"/>
      <c r="T168" s="8"/>
      <c r="U168" s="8"/>
      <c r="V168" s="8"/>
      <c r="W168" s="8"/>
    </row>
    <row r="169" spans="1:23" x14ac:dyDescent="0.25">
      <c r="A169" s="8"/>
      <c r="B169" s="8"/>
      <c r="C169" s="8"/>
      <c r="D169" s="8"/>
      <c r="E169" s="8"/>
      <c r="F169" s="8"/>
      <c r="G169" s="8"/>
      <c r="H169" s="8"/>
      <c r="I169" s="8"/>
      <c r="J169" s="8"/>
      <c r="K169" s="8"/>
      <c r="L169" s="8"/>
      <c r="M169" s="8"/>
      <c r="N169" s="8"/>
      <c r="O169" s="8"/>
      <c r="P169" s="8"/>
      <c r="Q169" s="8"/>
      <c r="R169" s="8"/>
      <c r="S169" s="8"/>
      <c r="T169" s="8"/>
      <c r="U169" s="8"/>
      <c r="V169" s="8"/>
      <c r="W169" s="8"/>
    </row>
    <row r="170" spans="1:23" x14ac:dyDescent="0.25">
      <c r="A170" s="8"/>
      <c r="B170" s="8"/>
      <c r="C170" s="8"/>
      <c r="D170" s="8"/>
      <c r="E170" s="8"/>
      <c r="F170" s="8"/>
      <c r="G170" s="8"/>
      <c r="H170" s="8"/>
      <c r="I170" s="8"/>
      <c r="J170" s="8"/>
      <c r="K170" s="8"/>
      <c r="L170" s="8"/>
      <c r="M170" s="8"/>
      <c r="N170" s="8"/>
      <c r="O170" s="8"/>
      <c r="P170" s="8"/>
      <c r="Q170" s="8"/>
      <c r="R170" s="8"/>
      <c r="S170" s="8"/>
      <c r="T170" s="8"/>
      <c r="U170" s="8"/>
      <c r="V170" s="8"/>
      <c r="W170" s="8"/>
    </row>
    <row r="171" spans="1:23" x14ac:dyDescent="0.25">
      <c r="A171" s="8"/>
      <c r="B171" s="8"/>
      <c r="C171" s="8"/>
      <c r="D171" s="8"/>
      <c r="E171" s="8"/>
      <c r="F171" s="8"/>
      <c r="G171" s="8"/>
      <c r="H171" s="8"/>
      <c r="I171" s="8"/>
      <c r="J171" s="8"/>
      <c r="K171" s="8"/>
      <c r="L171" s="8"/>
      <c r="M171" s="8"/>
      <c r="N171" s="8"/>
      <c r="O171" s="8"/>
      <c r="P171" s="8"/>
      <c r="Q171" s="8"/>
      <c r="R171" s="8"/>
      <c r="S171" s="8"/>
      <c r="T171" s="8"/>
      <c r="U171" s="8"/>
      <c r="V171" s="8"/>
      <c r="W171" s="8"/>
    </row>
    <row r="172" spans="1:23" x14ac:dyDescent="0.25">
      <c r="A172" s="8"/>
      <c r="B172" s="8"/>
      <c r="C172" s="8"/>
      <c r="D172" s="8"/>
      <c r="E172" s="8"/>
      <c r="F172" s="8"/>
      <c r="G172" s="8"/>
      <c r="H172" s="8"/>
      <c r="I172" s="8"/>
      <c r="J172" s="8"/>
      <c r="K172" s="8"/>
      <c r="L172" s="8"/>
      <c r="M172" s="8"/>
      <c r="N172" s="8"/>
      <c r="O172" s="8"/>
      <c r="P172" s="8"/>
      <c r="Q172" s="8"/>
      <c r="R172" s="8"/>
      <c r="S172" s="8"/>
      <c r="T172" s="8"/>
      <c r="U172" s="8"/>
      <c r="V172" s="8"/>
      <c r="W172" s="8"/>
    </row>
    <row r="173" spans="1:23" x14ac:dyDescent="0.25">
      <c r="A173" s="8"/>
      <c r="B173" s="8"/>
      <c r="C173" s="8"/>
      <c r="D173" s="8"/>
      <c r="E173" s="8"/>
      <c r="F173" s="8"/>
      <c r="G173" s="8"/>
      <c r="H173" s="8"/>
      <c r="I173" s="8"/>
      <c r="J173" s="8"/>
      <c r="K173" s="8"/>
      <c r="L173" s="8"/>
      <c r="M173" s="8"/>
      <c r="N173" s="8"/>
      <c r="O173" s="8"/>
      <c r="P173" s="8"/>
      <c r="Q173" s="8"/>
      <c r="R173" s="8"/>
      <c r="S173" s="8"/>
      <c r="T173" s="8"/>
      <c r="U173" s="8"/>
      <c r="V173" s="8"/>
      <c r="W173" s="8"/>
    </row>
    <row r="174" spans="1:23" x14ac:dyDescent="0.25">
      <c r="A174" s="8"/>
      <c r="B174" s="8"/>
      <c r="C174" s="8"/>
      <c r="D174" s="8"/>
      <c r="E174" s="8"/>
      <c r="F174" s="8"/>
      <c r="G174" s="8"/>
      <c r="H174" s="8"/>
      <c r="I174" s="8"/>
      <c r="J174" s="8"/>
      <c r="K174" s="8"/>
      <c r="L174" s="8"/>
      <c r="M174" s="8"/>
      <c r="N174" s="8"/>
      <c r="O174" s="8"/>
      <c r="P174" s="8"/>
      <c r="Q174" s="8"/>
      <c r="R174" s="8"/>
      <c r="S174" s="8"/>
      <c r="T174" s="8"/>
      <c r="U174" s="8"/>
      <c r="V174" s="8"/>
      <c r="W174" s="8"/>
    </row>
    <row r="175" spans="1:23" x14ac:dyDescent="0.25">
      <c r="A175" s="8"/>
      <c r="B175" s="8"/>
      <c r="C175" s="8"/>
      <c r="D175" s="8"/>
      <c r="E175" s="8"/>
      <c r="F175" s="8"/>
      <c r="G175" s="8"/>
      <c r="H175" s="8"/>
      <c r="I175" s="8"/>
      <c r="J175" s="8"/>
      <c r="K175" s="8"/>
      <c r="L175" s="8"/>
      <c r="M175" s="8"/>
      <c r="N175" s="8"/>
      <c r="O175" s="8"/>
      <c r="P175" s="8"/>
      <c r="Q175" s="8"/>
      <c r="R175" s="8"/>
      <c r="S175" s="8"/>
      <c r="T175" s="8"/>
      <c r="U175" s="8"/>
      <c r="V175" s="8"/>
      <c r="W175" s="8"/>
    </row>
    <row r="176" spans="1:23" x14ac:dyDescent="0.25">
      <c r="A176" s="8"/>
      <c r="B176" s="8"/>
      <c r="C176" s="8"/>
      <c r="D176" s="8"/>
      <c r="E176" s="8"/>
      <c r="F176" s="8"/>
      <c r="G176" s="8"/>
      <c r="H176" s="8"/>
      <c r="I176" s="8"/>
      <c r="J176" s="8"/>
      <c r="K176" s="8"/>
      <c r="L176" s="8"/>
      <c r="M176" s="8"/>
      <c r="N176" s="8"/>
      <c r="O176" s="8"/>
      <c r="P176" s="8"/>
      <c r="Q176" s="8"/>
      <c r="R176" s="8"/>
      <c r="S176" s="8"/>
      <c r="T176" s="8"/>
      <c r="U176" s="8"/>
      <c r="V176" s="8"/>
      <c r="W176" s="8"/>
    </row>
    <row r="177" spans="1:23" x14ac:dyDescent="0.25">
      <c r="A177" s="8"/>
      <c r="B177" s="8"/>
      <c r="C177" s="8"/>
      <c r="D177" s="8"/>
      <c r="E177" s="8"/>
      <c r="F177" s="8"/>
      <c r="G177" s="8"/>
      <c r="H177" s="8"/>
      <c r="I177" s="8"/>
      <c r="J177" s="8"/>
      <c r="K177" s="8"/>
      <c r="L177" s="8"/>
      <c r="M177" s="8"/>
      <c r="N177" s="8"/>
      <c r="O177" s="8"/>
      <c r="P177" s="8"/>
      <c r="Q177" s="8"/>
      <c r="R177" s="8"/>
      <c r="S177" s="8"/>
      <c r="T177" s="8"/>
      <c r="U177" s="8"/>
      <c r="V177" s="8"/>
      <c r="W177" s="8"/>
    </row>
    <row r="178" spans="1:23" x14ac:dyDescent="0.25">
      <c r="A178" s="8"/>
      <c r="B178" s="8"/>
      <c r="C178" s="8"/>
      <c r="D178" s="8"/>
      <c r="E178" s="8"/>
      <c r="F178" s="8"/>
      <c r="G178" s="8"/>
      <c r="H178" s="8"/>
      <c r="I178" s="8"/>
      <c r="J178" s="8"/>
      <c r="K178" s="8"/>
      <c r="L178" s="8"/>
      <c r="M178" s="8"/>
      <c r="N178" s="8"/>
      <c r="O178" s="8"/>
      <c r="P178" s="8"/>
      <c r="Q178" s="8"/>
      <c r="R178" s="8"/>
      <c r="S178" s="8"/>
      <c r="T178" s="8"/>
      <c r="U178" s="8"/>
      <c r="V178" s="8"/>
      <c r="W178" s="8"/>
    </row>
    <row r="179" spans="1:23" x14ac:dyDescent="0.25">
      <c r="A179" s="8"/>
      <c r="B179" s="8"/>
      <c r="C179" s="8"/>
      <c r="D179" s="8"/>
      <c r="E179" s="8"/>
      <c r="F179" s="8"/>
      <c r="G179" s="8"/>
      <c r="H179" s="8"/>
      <c r="I179" s="8"/>
      <c r="J179" s="8"/>
      <c r="K179" s="8"/>
      <c r="L179" s="8"/>
      <c r="M179" s="8"/>
      <c r="N179" s="8"/>
      <c r="O179" s="8"/>
      <c r="P179" s="8"/>
      <c r="Q179" s="8"/>
      <c r="R179" s="8"/>
      <c r="S179" s="8"/>
      <c r="T179" s="8"/>
      <c r="U179" s="8"/>
      <c r="V179" s="8"/>
      <c r="W179" s="8"/>
    </row>
    <row r="180" spans="1:23" x14ac:dyDescent="0.25">
      <c r="A180" s="8"/>
      <c r="B180" s="8"/>
      <c r="C180" s="8"/>
      <c r="D180" s="8"/>
      <c r="E180" s="8"/>
      <c r="F180" s="8"/>
      <c r="G180" s="8"/>
      <c r="H180" s="8"/>
      <c r="I180" s="8"/>
      <c r="J180" s="8"/>
      <c r="K180" s="8"/>
      <c r="L180" s="8"/>
      <c r="M180" s="8"/>
      <c r="N180" s="8"/>
      <c r="O180" s="8"/>
      <c r="P180" s="8"/>
      <c r="Q180" s="8"/>
      <c r="R180" s="8"/>
      <c r="S180" s="8"/>
      <c r="T180" s="8"/>
      <c r="U180" s="8"/>
      <c r="V180" s="8"/>
      <c r="W180" s="8"/>
    </row>
    <row r="181" spans="1:23" x14ac:dyDescent="0.25">
      <c r="A181" s="8"/>
      <c r="B181" s="8"/>
      <c r="C181" s="8"/>
      <c r="D181" s="8"/>
      <c r="E181" s="8"/>
      <c r="F181" s="8"/>
      <c r="G181" s="8"/>
      <c r="H181" s="8"/>
      <c r="I181" s="8"/>
      <c r="J181" s="8"/>
      <c r="K181" s="8"/>
      <c r="L181" s="8"/>
      <c r="M181" s="8"/>
      <c r="N181" s="8"/>
      <c r="O181" s="8"/>
      <c r="P181" s="8"/>
      <c r="Q181" s="8"/>
      <c r="R181" s="8"/>
      <c r="S181" s="8"/>
      <c r="T181" s="8"/>
      <c r="U181" s="8"/>
      <c r="V181" s="8"/>
      <c r="W181" s="8"/>
    </row>
    <row r="182" spans="1:23" x14ac:dyDescent="0.25">
      <c r="A182" s="8"/>
      <c r="B182" s="8"/>
      <c r="C182" s="8"/>
      <c r="D182" s="8"/>
      <c r="E182" s="8"/>
      <c r="F182" s="8"/>
      <c r="G182" s="8"/>
      <c r="H182" s="8"/>
      <c r="I182" s="8"/>
      <c r="J182" s="8"/>
      <c r="K182" s="8"/>
      <c r="L182" s="8"/>
      <c r="M182" s="8"/>
      <c r="N182" s="8"/>
      <c r="O182" s="8"/>
      <c r="P182" s="8"/>
      <c r="Q182" s="8"/>
      <c r="R182" s="8"/>
      <c r="S182" s="8"/>
      <c r="T182" s="8"/>
      <c r="U182" s="8"/>
      <c r="V182" s="8"/>
      <c r="W182" s="8"/>
    </row>
    <row r="183" spans="1:23" x14ac:dyDescent="0.25">
      <c r="A183" s="8"/>
      <c r="B183" s="8"/>
      <c r="C183" s="8"/>
      <c r="D183" s="8"/>
      <c r="E183" s="8"/>
      <c r="F183" s="8"/>
      <c r="G183" s="8"/>
      <c r="H183" s="8"/>
      <c r="I183" s="8"/>
      <c r="J183" s="8"/>
      <c r="K183" s="8"/>
      <c r="L183" s="8"/>
      <c r="M183" s="8"/>
      <c r="N183" s="8"/>
      <c r="O183" s="8"/>
      <c r="P183" s="8"/>
      <c r="Q183" s="8"/>
      <c r="R183" s="8"/>
      <c r="S183" s="8"/>
      <c r="T183" s="8"/>
      <c r="U183" s="8"/>
      <c r="V183" s="8"/>
      <c r="W183" s="8"/>
    </row>
    <row r="184" spans="1:23" x14ac:dyDescent="0.25">
      <c r="A184" s="8"/>
      <c r="B184" s="8"/>
      <c r="C184" s="8"/>
      <c r="D184" s="8"/>
      <c r="E184" s="8"/>
      <c r="F184" s="8"/>
      <c r="G184" s="8"/>
      <c r="H184" s="8"/>
      <c r="I184" s="8"/>
      <c r="J184" s="8"/>
      <c r="K184" s="8"/>
      <c r="L184" s="8"/>
      <c r="M184" s="8"/>
      <c r="N184" s="8"/>
      <c r="O184" s="8"/>
      <c r="P184" s="8"/>
      <c r="Q184" s="8"/>
      <c r="R184" s="8"/>
      <c r="S184" s="8"/>
      <c r="T184" s="8"/>
      <c r="U184" s="8"/>
      <c r="V184" s="8"/>
      <c r="W184" s="8"/>
    </row>
    <row r="185" spans="1:23" x14ac:dyDescent="0.25">
      <c r="A185" s="8"/>
      <c r="B185" s="8"/>
      <c r="C185" s="8"/>
      <c r="D185" s="8"/>
      <c r="E185" s="8"/>
      <c r="F185" s="8"/>
      <c r="G185" s="8"/>
      <c r="H185" s="8"/>
      <c r="I185" s="8"/>
      <c r="J185" s="8"/>
      <c r="K185" s="8"/>
      <c r="L185" s="8"/>
      <c r="M185" s="8"/>
      <c r="N185" s="8"/>
      <c r="O185" s="8"/>
      <c r="P185" s="8"/>
      <c r="Q185" s="8"/>
      <c r="R185" s="8"/>
      <c r="S185" s="8"/>
      <c r="T185" s="8"/>
      <c r="U185" s="8"/>
      <c r="V185" s="8"/>
      <c r="W185" s="8"/>
    </row>
    <row r="186" spans="1:23" x14ac:dyDescent="0.25">
      <c r="A186" s="8"/>
      <c r="B186" s="8"/>
      <c r="C186" s="8"/>
      <c r="D186" s="8"/>
      <c r="E186" s="8"/>
      <c r="F186" s="8"/>
      <c r="G186" s="8"/>
      <c r="H186" s="8"/>
      <c r="I186" s="8"/>
      <c r="J186" s="8"/>
      <c r="K186" s="8"/>
      <c r="L186" s="8"/>
      <c r="M186" s="8"/>
      <c r="N186" s="8"/>
      <c r="O186" s="8"/>
      <c r="P186" s="8"/>
      <c r="Q186" s="8"/>
      <c r="R186" s="8"/>
      <c r="S186" s="8"/>
      <c r="T186" s="8"/>
      <c r="U186" s="8"/>
      <c r="V186" s="8"/>
      <c r="W186" s="8"/>
    </row>
    <row r="187" spans="1:23" x14ac:dyDescent="0.25">
      <c r="A187" s="8"/>
      <c r="B187" s="8"/>
      <c r="C187" s="8"/>
      <c r="D187" s="8"/>
      <c r="E187" s="8"/>
      <c r="F187" s="8"/>
      <c r="G187" s="8"/>
      <c r="H187" s="8"/>
      <c r="I187" s="8"/>
      <c r="J187" s="8"/>
      <c r="K187" s="8"/>
      <c r="L187" s="8"/>
      <c r="M187" s="8"/>
      <c r="N187" s="8"/>
      <c r="O187" s="8"/>
      <c r="P187" s="8"/>
      <c r="Q187" s="8"/>
      <c r="R187" s="8"/>
      <c r="S187" s="8"/>
      <c r="T187" s="8"/>
      <c r="U187" s="8"/>
      <c r="V187" s="8"/>
      <c r="W187" s="8"/>
    </row>
    <row r="188" spans="1:23" x14ac:dyDescent="0.25">
      <c r="A188" s="8"/>
      <c r="B188" s="8"/>
      <c r="C188" s="8"/>
      <c r="D188" s="8"/>
      <c r="E188" s="8"/>
      <c r="F188" s="8"/>
      <c r="G188" s="8"/>
      <c r="H188" s="8"/>
      <c r="I188" s="8"/>
      <c r="J188" s="8"/>
      <c r="K188" s="8"/>
      <c r="L188" s="8"/>
      <c r="M188" s="8"/>
      <c r="N188" s="8"/>
      <c r="O188" s="8"/>
      <c r="P188" s="8"/>
      <c r="Q188" s="8"/>
      <c r="R188" s="8"/>
      <c r="S188" s="8"/>
      <c r="T188" s="8"/>
      <c r="U188" s="8"/>
      <c r="V188" s="8"/>
      <c r="W188" s="8"/>
    </row>
    <row r="189" spans="1:23" x14ac:dyDescent="0.25">
      <c r="A189" s="8"/>
      <c r="B189" s="8"/>
      <c r="C189" s="8"/>
      <c r="D189" s="8"/>
      <c r="E189" s="8"/>
      <c r="F189" s="8"/>
      <c r="G189" s="8"/>
      <c r="H189" s="8"/>
      <c r="I189" s="8"/>
      <c r="J189" s="8"/>
      <c r="K189" s="8"/>
      <c r="L189" s="8"/>
      <c r="M189" s="8"/>
      <c r="N189" s="8"/>
      <c r="O189" s="8"/>
      <c r="P189" s="8"/>
      <c r="Q189" s="8"/>
      <c r="R189" s="8"/>
      <c r="S189" s="8"/>
      <c r="T189" s="8"/>
      <c r="U189" s="8"/>
      <c r="V189" s="8"/>
      <c r="W189" s="8"/>
    </row>
    <row r="190" spans="1:23" x14ac:dyDescent="0.25">
      <c r="A190" s="8"/>
      <c r="B190" s="8"/>
      <c r="C190" s="8"/>
      <c r="D190" s="8"/>
      <c r="E190" s="8"/>
      <c r="F190" s="8"/>
      <c r="G190" s="8"/>
      <c r="H190" s="8"/>
      <c r="I190" s="8"/>
      <c r="J190" s="8"/>
      <c r="K190" s="8"/>
      <c r="L190" s="8"/>
      <c r="M190" s="8"/>
      <c r="N190" s="8"/>
      <c r="O190" s="8"/>
      <c r="P190" s="8"/>
      <c r="Q190" s="8"/>
      <c r="R190" s="8"/>
      <c r="S190" s="8"/>
      <c r="T190" s="8"/>
      <c r="U190" s="8"/>
      <c r="V190" s="8"/>
      <c r="W190" s="8"/>
    </row>
    <row r="191" spans="1:23" x14ac:dyDescent="0.25">
      <c r="A191" s="8"/>
      <c r="B191" s="8"/>
      <c r="C191" s="8"/>
      <c r="D191" s="8"/>
      <c r="E191" s="8"/>
      <c r="F191" s="8"/>
      <c r="G191" s="8"/>
      <c r="H191" s="8"/>
      <c r="I191" s="8"/>
      <c r="J191" s="8"/>
      <c r="K191" s="8"/>
      <c r="L191" s="8"/>
      <c r="M191" s="8"/>
      <c r="N191" s="8"/>
      <c r="O191" s="8"/>
      <c r="P191" s="8"/>
      <c r="Q191" s="8"/>
      <c r="R191" s="8"/>
      <c r="S191" s="8"/>
      <c r="T191" s="8"/>
      <c r="U191" s="8"/>
      <c r="V191" s="8"/>
      <c r="W191" s="8"/>
    </row>
    <row r="192" spans="1:23" x14ac:dyDescent="0.25">
      <c r="A192" s="8"/>
      <c r="B192" s="8"/>
      <c r="C192" s="8"/>
      <c r="D192" s="8"/>
      <c r="E192" s="8"/>
      <c r="F192" s="8"/>
      <c r="G192" s="8"/>
      <c r="H192" s="8"/>
      <c r="I192" s="8"/>
      <c r="J192" s="8"/>
      <c r="K192" s="8"/>
      <c r="L192" s="8"/>
      <c r="M192" s="8"/>
      <c r="N192" s="8"/>
      <c r="O192" s="8"/>
      <c r="P192" s="8"/>
      <c r="Q192" s="8"/>
      <c r="R192" s="8"/>
      <c r="S192" s="8"/>
      <c r="T192" s="8"/>
      <c r="U192" s="8"/>
      <c r="V192" s="8"/>
      <c r="W192" s="8"/>
    </row>
    <row r="193" spans="1:23" x14ac:dyDescent="0.25">
      <c r="A193" s="8"/>
      <c r="B193" s="8"/>
      <c r="C193" s="8"/>
      <c r="D193" s="8"/>
      <c r="E193" s="8"/>
      <c r="F193" s="8"/>
      <c r="G193" s="8"/>
      <c r="H193" s="8"/>
      <c r="I193" s="8"/>
      <c r="J193" s="8"/>
      <c r="K193" s="8"/>
      <c r="L193" s="8"/>
      <c r="M193" s="8"/>
      <c r="N193" s="8"/>
      <c r="O193" s="8"/>
      <c r="P193" s="8"/>
      <c r="Q193" s="8"/>
      <c r="R193" s="8"/>
      <c r="S193" s="8"/>
      <c r="T193" s="8"/>
      <c r="U193" s="8"/>
      <c r="V193" s="8"/>
      <c r="W193" s="8"/>
    </row>
    <row r="194" spans="1:23" x14ac:dyDescent="0.25">
      <c r="A194" s="8"/>
      <c r="B194" s="8"/>
      <c r="C194" s="8"/>
      <c r="D194" s="8"/>
      <c r="E194" s="8"/>
      <c r="F194" s="8"/>
      <c r="G194" s="8"/>
      <c r="H194" s="8"/>
      <c r="I194" s="8"/>
      <c r="J194" s="8"/>
      <c r="K194" s="8"/>
      <c r="L194" s="8"/>
      <c r="M194" s="8"/>
      <c r="N194" s="8"/>
      <c r="O194" s="8"/>
      <c r="P194" s="8"/>
      <c r="Q194" s="8"/>
      <c r="R194" s="8"/>
      <c r="S194" s="8"/>
      <c r="T194" s="8"/>
      <c r="U194" s="8"/>
      <c r="V194" s="8"/>
      <c r="W194" s="8"/>
    </row>
    <row r="195" spans="1:23" x14ac:dyDescent="0.25">
      <c r="A195" s="8"/>
      <c r="B195" s="8"/>
      <c r="C195" s="8"/>
      <c r="D195" s="8"/>
      <c r="E195" s="8"/>
      <c r="F195" s="8"/>
      <c r="G195" s="8"/>
      <c r="H195" s="8"/>
      <c r="I195" s="8"/>
      <c r="J195" s="8"/>
      <c r="K195" s="8"/>
      <c r="L195" s="8"/>
      <c r="M195" s="8"/>
      <c r="N195" s="8"/>
      <c r="O195" s="8"/>
      <c r="P195" s="8"/>
      <c r="Q195" s="8"/>
      <c r="R195" s="8"/>
      <c r="S195" s="8"/>
      <c r="T195" s="8"/>
      <c r="U195" s="8"/>
      <c r="V195" s="8"/>
      <c r="W195" s="8"/>
    </row>
    <row r="196" spans="1:23" x14ac:dyDescent="0.25">
      <c r="A196" s="8"/>
      <c r="B196" s="8"/>
      <c r="C196" s="8"/>
      <c r="D196" s="8"/>
      <c r="E196" s="8"/>
      <c r="F196" s="8"/>
      <c r="G196" s="8"/>
      <c r="H196" s="8"/>
      <c r="I196" s="8"/>
      <c r="J196" s="8"/>
      <c r="K196" s="8"/>
      <c r="L196" s="8"/>
      <c r="M196" s="8"/>
      <c r="N196" s="8"/>
      <c r="O196" s="8"/>
      <c r="P196" s="8"/>
      <c r="Q196" s="8"/>
      <c r="R196" s="8"/>
      <c r="S196" s="8"/>
      <c r="T196" s="8"/>
      <c r="U196" s="8"/>
      <c r="V196" s="8"/>
      <c r="W196" s="8"/>
    </row>
    <row r="197" spans="1:23" x14ac:dyDescent="0.25">
      <c r="A197" s="8"/>
      <c r="B197" s="8"/>
      <c r="C197" s="8"/>
      <c r="D197" s="8"/>
      <c r="E197" s="8"/>
      <c r="F197" s="8"/>
      <c r="G197" s="8"/>
      <c r="H197" s="8"/>
      <c r="I197" s="8"/>
      <c r="J197" s="8"/>
      <c r="K197" s="8"/>
      <c r="L197" s="8"/>
      <c r="M197" s="8"/>
      <c r="N197" s="8"/>
      <c r="O197" s="8"/>
      <c r="P197" s="8"/>
      <c r="Q197" s="8"/>
      <c r="R197" s="8"/>
      <c r="S197" s="8"/>
      <c r="T197" s="8"/>
      <c r="U197" s="8"/>
      <c r="V197" s="8"/>
      <c r="W197" s="8"/>
    </row>
    <row r="198" spans="1:23" x14ac:dyDescent="0.25">
      <c r="A198" s="8"/>
      <c r="B198" s="8"/>
      <c r="C198" s="8"/>
      <c r="D198" s="8"/>
      <c r="E198" s="8"/>
      <c r="F198" s="8"/>
      <c r="G198" s="8"/>
      <c r="H198" s="8"/>
      <c r="I198" s="8"/>
      <c r="J198" s="8"/>
      <c r="K198" s="8"/>
      <c r="L198" s="8"/>
      <c r="M198" s="8"/>
      <c r="N198" s="8"/>
      <c r="O198" s="8"/>
      <c r="P198" s="8"/>
      <c r="Q198" s="8"/>
      <c r="R198" s="8"/>
      <c r="S198" s="8"/>
      <c r="T198" s="8"/>
      <c r="U198" s="8"/>
      <c r="V198" s="8"/>
      <c r="W198" s="8"/>
    </row>
    <row r="199" spans="1:23" x14ac:dyDescent="0.25">
      <c r="A199" s="8"/>
      <c r="B199" s="8"/>
      <c r="C199" s="8"/>
      <c r="D199" s="8"/>
      <c r="E199" s="8"/>
      <c r="F199" s="8"/>
      <c r="G199" s="8"/>
      <c r="H199" s="8"/>
      <c r="I199" s="8"/>
      <c r="J199" s="8"/>
      <c r="K199" s="8"/>
      <c r="L199" s="8"/>
      <c r="M199" s="8"/>
      <c r="N199" s="8"/>
      <c r="O199" s="8"/>
      <c r="P199" s="8"/>
      <c r="Q199" s="8"/>
      <c r="R199" s="8"/>
      <c r="S199" s="8"/>
      <c r="T199" s="8"/>
      <c r="U199" s="8"/>
      <c r="V199" s="8"/>
      <c r="W199" s="8"/>
    </row>
    <row r="200" spans="1:23" x14ac:dyDescent="0.25">
      <c r="A200" s="8"/>
      <c r="B200" s="8"/>
      <c r="C200" s="8"/>
      <c r="D200" s="8"/>
      <c r="E200" s="8"/>
      <c r="F200" s="8"/>
      <c r="G200" s="8"/>
      <c r="H200" s="8"/>
      <c r="I200" s="8"/>
      <c r="J200" s="8"/>
      <c r="K200" s="8"/>
      <c r="L200" s="8"/>
      <c r="M200" s="8"/>
      <c r="N200" s="8"/>
      <c r="O200" s="8"/>
      <c r="P200" s="8"/>
      <c r="Q200" s="8"/>
      <c r="R200" s="8"/>
      <c r="S200" s="8"/>
      <c r="T200" s="8"/>
      <c r="U200" s="8"/>
      <c r="V200" s="8"/>
      <c r="W200" s="8"/>
    </row>
    <row r="201" spans="1:23" x14ac:dyDescent="0.25">
      <c r="A201" s="8"/>
      <c r="B201" s="8"/>
      <c r="C201" s="8"/>
      <c r="D201" s="8"/>
      <c r="E201" s="8"/>
      <c r="F201" s="8"/>
      <c r="G201" s="8"/>
      <c r="H201" s="8"/>
      <c r="I201" s="8"/>
      <c r="J201" s="8"/>
      <c r="K201" s="8"/>
      <c r="L201" s="8"/>
      <c r="M201" s="8"/>
      <c r="N201" s="8"/>
      <c r="O201" s="8"/>
      <c r="P201" s="8"/>
      <c r="Q201" s="8"/>
      <c r="R201" s="8"/>
      <c r="S201" s="8"/>
      <c r="T201" s="8"/>
      <c r="U201" s="8"/>
      <c r="V201" s="8"/>
      <c r="W201" s="8"/>
    </row>
    <row r="202" spans="1:23" x14ac:dyDescent="0.25">
      <c r="A202" s="8"/>
      <c r="B202" s="8"/>
      <c r="C202" s="8"/>
      <c r="D202" s="8"/>
      <c r="E202" s="8"/>
      <c r="F202" s="8"/>
      <c r="G202" s="8"/>
      <c r="H202" s="8"/>
      <c r="I202" s="8"/>
      <c r="J202" s="8"/>
      <c r="K202" s="8"/>
      <c r="L202" s="8"/>
      <c r="M202" s="8"/>
      <c r="N202" s="8"/>
      <c r="O202" s="8"/>
      <c r="P202" s="8"/>
      <c r="Q202" s="8"/>
      <c r="R202" s="8"/>
      <c r="S202" s="8"/>
      <c r="T202" s="8"/>
      <c r="U202" s="8"/>
      <c r="V202" s="8"/>
      <c r="W202" s="8"/>
    </row>
    <row r="203" spans="1:23" x14ac:dyDescent="0.25">
      <c r="A203" s="8"/>
      <c r="B203" s="8"/>
      <c r="C203" s="8"/>
      <c r="D203" s="8"/>
      <c r="E203" s="8"/>
      <c r="F203" s="8"/>
      <c r="G203" s="8"/>
      <c r="H203" s="8"/>
      <c r="I203" s="8"/>
      <c r="J203" s="8"/>
      <c r="K203" s="8"/>
      <c r="L203" s="8"/>
      <c r="M203" s="8"/>
      <c r="N203" s="8"/>
      <c r="O203" s="8"/>
      <c r="P203" s="8"/>
      <c r="Q203" s="8"/>
      <c r="R203" s="8"/>
      <c r="S203" s="8"/>
      <c r="T203" s="8"/>
      <c r="U203" s="8"/>
      <c r="V203" s="8"/>
      <c r="W203" s="8"/>
    </row>
    <row r="204" spans="1:23" x14ac:dyDescent="0.25">
      <c r="A204" s="8"/>
      <c r="B204" s="8"/>
      <c r="C204" s="8"/>
      <c r="D204" s="8"/>
      <c r="E204" s="8"/>
      <c r="F204" s="8"/>
      <c r="G204" s="8"/>
      <c r="H204" s="8"/>
      <c r="I204" s="8"/>
      <c r="J204" s="8"/>
      <c r="K204" s="8"/>
      <c r="L204" s="8"/>
      <c r="M204" s="8"/>
      <c r="N204" s="8"/>
      <c r="O204" s="8"/>
      <c r="P204" s="8"/>
      <c r="Q204" s="8"/>
      <c r="R204" s="8"/>
      <c r="S204" s="8"/>
      <c r="T204" s="8"/>
      <c r="U204" s="8"/>
      <c r="V204" s="8"/>
      <c r="W204" s="8"/>
    </row>
    <row r="205" spans="1:23" x14ac:dyDescent="0.25">
      <c r="A205" s="8"/>
      <c r="B205" s="8"/>
      <c r="C205" s="8"/>
      <c r="D205" s="8"/>
      <c r="E205" s="8"/>
      <c r="F205" s="8"/>
      <c r="G205" s="8"/>
      <c r="H205" s="8"/>
      <c r="I205" s="8"/>
      <c r="J205" s="8"/>
      <c r="K205" s="8"/>
      <c r="L205" s="8"/>
      <c r="M205" s="8"/>
      <c r="N205" s="8"/>
      <c r="O205" s="8"/>
      <c r="P205" s="8"/>
      <c r="Q205" s="8"/>
      <c r="R205" s="8"/>
      <c r="S205" s="8"/>
      <c r="T205" s="8"/>
      <c r="U205" s="8"/>
      <c r="V205" s="8"/>
      <c r="W205" s="8"/>
    </row>
    <row r="206" spans="1:23" x14ac:dyDescent="0.25">
      <c r="A206" s="8"/>
      <c r="B206" s="8"/>
      <c r="C206" s="8"/>
      <c r="D206" s="8"/>
      <c r="E206" s="8"/>
      <c r="F206" s="8"/>
      <c r="G206" s="8"/>
      <c r="H206" s="8"/>
      <c r="I206" s="8"/>
      <c r="J206" s="8"/>
      <c r="K206" s="8"/>
      <c r="L206" s="8"/>
      <c r="M206" s="8"/>
      <c r="N206" s="8"/>
      <c r="O206" s="8"/>
      <c r="P206" s="8"/>
      <c r="Q206" s="8"/>
      <c r="R206" s="8"/>
      <c r="S206" s="8"/>
      <c r="T206" s="8"/>
      <c r="U206" s="8"/>
      <c r="V206" s="8"/>
      <c r="W206" s="8"/>
    </row>
    <row r="207" spans="1:23" x14ac:dyDescent="0.25">
      <c r="A207" s="8"/>
      <c r="B207" s="8"/>
      <c r="C207" s="8"/>
      <c r="D207" s="8"/>
      <c r="E207" s="8"/>
      <c r="F207" s="8"/>
      <c r="G207" s="8"/>
      <c r="H207" s="8"/>
      <c r="I207" s="8"/>
      <c r="J207" s="8"/>
      <c r="K207" s="8"/>
      <c r="L207" s="8"/>
      <c r="M207" s="8"/>
      <c r="N207" s="8"/>
      <c r="O207" s="8"/>
      <c r="P207" s="8"/>
      <c r="Q207" s="8"/>
      <c r="R207" s="8"/>
      <c r="S207" s="8"/>
      <c r="T207" s="8"/>
      <c r="U207" s="8"/>
      <c r="V207" s="8"/>
      <c r="W207" s="8"/>
    </row>
    <row r="208" spans="1:23" x14ac:dyDescent="0.25">
      <c r="A208" s="8"/>
      <c r="B208" s="8"/>
      <c r="C208" s="8"/>
      <c r="D208" s="8"/>
      <c r="E208" s="8"/>
      <c r="F208" s="8"/>
      <c r="G208" s="8"/>
      <c r="H208" s="8"/>
      <c r="I208" s="8"/>
      <c r="J208" s="8"/>
      <c r="K208" s="8"/>
      <c r="L208" s="8"/>
      <c r="M208" s="8"/>
      <c r="N208" s="8"/>
      <c r="O208" s="8"/>
      <c r="P208" s="8"/>
      <c r="Q208" s="8"/>
      <c r="R208" s="8"/>
      <c r="S208" s="8"/>
      <c r="T208" s="8"/>
      <c r="U208" s="8"/>
      <c r="V208" s="8"/>
      <c r="W208" s="8"/>
    </row>
    <row r="209" spans="1:23" x14ac:dyDescent="0.25">
      <c r="A209" s="8"/>
      <c r="B209" s="8"/>
      <c r="C209" s="8"/>
      <c r="D209" s="8"/>
      <c r="E209" s="8"/>
      <c r="F209" s="8"/>
      <c r="G209" s="8"/>
      <c r="H209" s="8"/>
      <c r="I209" s="8"/>
      <c r="J209" s="8"/>
      <c r="K209" s="8"/>
      <c r="L209" s="8"/>
      <c r="M209" s="8"/>
      <c r="N209" s="8"/>
      <c r="O209" s="8"/>
      <c r="P209" s="8"/>
      <c r="Q209" s="8"/>
      <c r="R209" s="8"/>
      <c r="S209" s="8"/>
      <c r="T209" s="8"/>
      <c r="U209" s="8"/>
      <c r="V209" s="8"/>
      <c r="W209" s="8"/>
    </row>
    <row r="210" spans="1:23" x14ac:dyDescent="0.25">
      <c r="A210" s="8"/>
      <c r="B210" s="8"/>
      <c r="C210" s="8"/>
      <c r="D210" s="8"/>
      <c r="E210" s="8"/>
      <c r="F210" s="8"/>
      <c r="G210" s="8"/>
      <c r="H210" s="8"/>
      <c r="I210" s="8"/>
      <c r="J210" s="8"/>
      <c r="K210" s="8"/>
      <c r="L210" s="8"/>
      <c r="M210" s="8"/>
      <c r="N210" s="8"/>
      <c r="O210" s="8"/>
      <c r="P210" s="8"/>
      <c r="Q210" s="8"/>
      <c r="R210" s="8"/>
      <c r="S210" s="8"/>
      <c r="T210" s="8"/>
      <c r="U210" s="8"/>
      <c r="V210" s="8"/>
      <c r="W210" s="8"/>
    </row>
    <row r="211" spans="1:23" x14ac:dyDescent="0.25">
      <c r="A211" s="8"/>
      <c r="B211" s="8"/>
      <c r="C211" s="8"/>
      <c r="D211" s="8"/>
      <c r="E211" s="8"/>
      <c r="F211" s="8"/>
      <c r="G211" s="8"/>
      <c r="H211" s="8"/>
      <c r="I211" s="8"/>
      <c r="J211" s="8"/>
      <c r="K211" s="8"/>
      <c r="L211" s="8"/>
      <c r="M211" s="8"/>
      <c r="N211" s="8"/>
      <c r="O211" s="8"/>
      <c r="P211" s="8"/>
      <c r="Q211" s="8"/>
      <c r="R211" s="8"/>
      <c r="S211" s="8"/>
      <c r="T211" s="8"/>
      <c r="U211" s="8"/>
      <c r="V211" s="8"/>
      <c r="W211" s="8"/>
    </row>
    <row r="212" spans="1:23" x14ac:dyDescent="0.25">
      <c r="A212" s="8"/>
      <c r="B212" s="8"/>
      <c r="C212" s="8"/>
      <c r="D212" s="8"/>
      <c r="E212" s="8"/>
      <c r="F212" s="8"/>
      <c r="G212" s="8"/>
      <c r="H212" s="8"/>
      <c r="I212" s="8"/>
      <c r="J212" s="8"/>
      <c r="K212" s="8"/>
      <c r="L212" s="8"/>
      <c r="M212" s="8"/>
      <c r="N212" s="8"/>
      <c r="O212" s="8"/>
      <c r="P212" s="8"/>
      <c r="Q212" s="8"/>
      <c r="R212" s="8"/>
      <c r="S212" s="8"/>
      <c r="T212" s="8"/>
      <c r="U212" s="8"/>
      <c r="V212" s="8"/>
      <c r="W212" s="8"/>
    </row>
    <row r="213" spans="1:23" x14ac:dyDescent="0.25">
      <c r="A213" s="8"/>
      <c r="B213" s="8"/>
      <c r="C213" s="8"/>
      <c r="D213" s="8"/>
      <c r="E213" s="8"/>
      <c r="F213" s="8"/>
      <c r="G213" s="8"/>
      <c r="H213" s="8"/>
      <c r="I213" s="8"/>
      <c r="J213" s="8"/>
      <c r="K213" s="8"/>
      <c r="L213" s="8"/>
      <c r="M213" s="8"/>
      <c r="N213" s="8"/>
      <c r="O213" s="8"/>
      <c r="P213" s="8"/>
      <c r="Q213" s="8"/>
      <c r="R213" s="8"/>
      <c r="S213" s="8"/>
      <c r="T213" s="8"/>
      <c r="U213" s="8"/>
      <c r="V213" s="8"/>
      <c r="W213" s="8"/>
    </row>
    <row r="214" spans="1:23" x14ac:dyDescent="0.25">
      <c r="A214" s="8"/>
      <c r="B214" s="8"/>
      <c r="C214" s="8"/>
      <c r="D214" s="8"/>
      <c r="E214" s="8"/>
      <c r="F214" s="8"/>
      <c r="G214" s="8"/>
      <c r="H214" s="8"/>
      <c r="I214" s="8"/>
      <c r="J214" s="8"/>
      <c r="K214" s="8"/>
      <c r="L214" s="8"/>
      <c r="M214" s="8"/>
      <c r="N214" s="8"/>
      <c r="O214" s="8"/>
      <c r="P214" s="8"/>
      <c r="Q214" s="8"/>
      <c r="R214" s="8"/>
      <c r="S214" s="8"/>
      <c r="T214" s="8"/>
      <c r="U214" s="8"/>
      <c r="V214" s="8"/>
      <c r="W214" s="8"/>
    </row>
    <row r="215" spans="1:23" x14ac:dyDescent="0.25">
      <c r="A215" s="8"/>
      <c r="B215" s="8"/>
      <c r="C215" s="8"/>
      <c r="D215" s="8"/>
      <c r="E215" s="8"/>
      <c r="F215" s="8"/>
      <c r="G215" s="8"/>
      <c r="H215" s="8"/>
      <c r="I215" s="8"/>
      <c r="J215" s="8"/>
      <c r="K215" s="8"/>
      <c r="L215" s="8"/>
      <c r="M215" s="8"/>
      <c r="N215" s="8"/>
      <c r="O215" s="8"/>
      <c r="P215" s="8"/>
      <c r="Q215" s="8"/>
      <c r="R215" s="8"/>
      <c r="S215" s="8"/>
      <c r="T215" s="8"/>
      <c r="U215" s="8"/>
      <c r="V215" s="8"/>
      <c r="W215" s="8"/>
    </row>
    <row r="216" spans="1:23" x14ac:dyDescent="0.25">
      <c r="A216" s="8"/>
      <c r="B216" s="8"/>
      <c r="C216" s="8"/>
      <c r="D216" s="8"/>
      <c r="E216" s="8"/>
      <c r="F216" s="8"/>
      <c r="G216" s="8"/>
      <c r="H216" s="8"/>
      <c r="I216" s="8"/>
      <c r="J216" s="8"/>
      <c r="K216" s="8"/>
      <c r="L216" s="8"/>
      <c r="M216" s="8"/>
      <c r="N216" s="8"/>
      <c r="O216" s="8"/>
      <c r="P216" s="8"/>
      <c r="Q216" s="8"/>
      <c r="R216" s="8"/>
      <c r="S216" s="8"/>
      <c r="T216" s="8"/>
      <c r="U216" s="8"/>
      <c r="V216" s="8"/>
      <c r="W216" s="8"/>
    </row>
    <row r="217" spans="1:23" x14ac:dyDescent="0.25">
      <c r="A217" s="8"/>
      <c r="B217" s="8"/>
      <c r="C217" s="8"/>
      <c r="D217" s="8"/>
      <c r="E217" s="8"/>
      <c r="F217" s="8"/>
      <c r="G217" s="8"/>
      <c r="H217" s="8"/>
      <c r="I217" s="8"/>
      <c r="J217" s="8"/>
      <c r="K217" s="8"/>
      <c r="L217" s="8"/>
      <c r="M217" s="8"/>
      <c r="N217" s="8"/>
      <c r="O217" s="8"/>
      <c r="P217" s="8"/>
      <c r="Q217" s="8"/>
      <c r="R217" s="8"/>
      <c r="S217" s="8"/>
      <c r="T217" s="8"/>
      <c r="U217" s="8"/>
      <c r="V217" s="8"/>
      <c r="W217" s="8"/>
    </row>
    <row r="218" spans="1:23" x14ac:dyDescent="0.25">
      <c r="A218" s="8"/>
      <c r="B218" s="8"/>
      <c r="C218" s="8"/>
      <c r="D218" s="8"/>
      <c r="E218" s="8"/>
      <c r="F218" s="8"/>
      <c r="G218" s="8"/>
      <c r="H218" s="8"/>
      <c r="I218" s="8"/>
      <c r="J218" s="8"/>
      <c r="K218" s="8"/>
      <c r="L218" s="8"/>
      <c r="M218" s="8"/>
      <c r="N218" s="8"/>
      <c r="O218" s="8"/>
      <c r="P218" s="8"/>
      <c r="Q218" s="8"/>
      <c r="R218" s="8"/>
      <c r="S218" s="8"/>
      <c r="T218" s="8"/>
      <c r="U218" s="8"/>
      <c r="V218" s="8"/>
      <c r="W218" s="8"/>
    </row>
    <row r="219" spans="1:23" x14ac:dyDescent="0.25">
      <c r="A219" s="8"/>
      <c r="B219" s="8"/>
      <c r="C219" s="8"/>
      <c r="D219" s="8"/>
      <c r="E219" s="8"/>
      <c r="F219" s="8"/>
      <c r="G219" s="8"/>
      <c r="H219" s="8"/>
      <c r="I219" s="8"/>
      <c r="J219" s="8"/>
      <c r="K219" s="8"/>
      <c r="L219" s="8"/>
      <c r="M219" s="8"/>
      <c r="N219" s="8"/>
      <c r="O219" s="8"/>
      <c r="P219" s="8"/>
      <c r="Q219" s="8"/>
      <c r="R219" s="8"/>
      <c r="S219" s="8"/>
      <c r="T219" s="8"/>
      <c r="U219" s="8"/>
      <c r="V219" s="8"/>
      <c r="W219" s="8"/>
    </row>
    <row r="220" spans="1:23" x14ac:dyDescent="0.25">
      <c r="A220" s="8"/>
      <c r="B220" s="8"/>
      <c r="C220" s="8"/>
      <c r="D220" s="8"/>
      <c r="E220" s="8"/>
      <c r="F220" s="8"/>
      <c r="G220" s="8"/>
      <c r="H220" s="8"/>
      <c r="I220" s="8"/>
      <c r="J220" s="8"/>
      <c r="K220" s="8"/>
      <c r="L220" s="8"/>
      <c r="M220" s="8"/>
      <c r="N220" s="8"/>
      <c r="O220" s="8"/>
      <c r="P220" s="8"/>
      <c r="Q220" s="8"/>
      <c r="R220" s="8"/>
      <c r="S220" s="8"/>
      <c r="T220" s="8"/>
      <c r="U220" s="8"/>
      <c r="V220" s="8"/>
      <c r="W220" s="8"/>
    </row>
    <row r="221" spans="1:23" x14ac:dyDescent="0.25">
      <c r="A221" s="8"/>
      <c r="B221" s="8"/>
      <c r="C221" s="8"/>
      <c r="D221" s="8"/>
      <c r="E221" s="8"/>
      <c r="F221" s="8"/>
      <c r="G221" s="8"/>
      <c r="H221" s="8"/>
      <c r="I221" s="8"/>
      <c r="J221" s="8"/>
      <c r="K221" s="8"/>
      <c r="L221" s="8"/>
      <c r="M221" s="8"/>
      <c r="N221" s="8"/>
      <c r="O221" s="8"/>
      <c r="P221" s="8"/>
      <c r="Q221" s="8"/>
      <c r="R221" s="8"/>
      <c r="S221" s="8"/>
      <c r="T221" s="8"/>
      <c r="U221" s="8"/>
      <c r="V221" s="8"/>
      <c r="W221" s="8"/>
    </row>
    <row r="222" spans="1:23" x14ac:dyDescent="0.25">
      <c r="A222" s="8"/>
      <c r="B222" s="8"/>
      <c r="C222" s="8"/>
      <c r="D222" s="8"/>
      <c r="E222" s="8"/>
      <c r="F222" s="8"/>
      <c r="G222" s="8"/>
      <c r="H222" s="8"/>
      <c r="I222" s="8"/>
      <c r="J222" s="8"/>
      <c r="K222" s="8"/>
      <c r="L222" s="8"/>
      <c r="M222" s="8"/>
      <c r="N222" s="8"/>
      <c r="O222" s="8"/>
      <c r="P222" s="8"/>
      <c r="Q222" s="8"/>
      <c r="R222" s="8"/>
      <c r="S222" s="8"/>
      <c r="T222" s="8"/>
      <c r="U222" s="8"/>
      <c r="V222" s="8"/>
      <c r="W222" s="8"/>
    </row>
    <row r="223" spans="1:23" x14ac:dyDescent="0.25">
      <c r="A223" s="8"/>
      <c r="B223" s="8"/>
      <c r="C223" s="8"/>
      <c r="D223" s="8"/>
      <c r="E223" s="8"/>
      <c r="F223" s="8"/>
      <c r="G223" s="8"/>
      <c r="H223" s="8"/>
      <c r="I223" s="8"/>
      <c r="J223" s="8"/>
      <c r="K223" s="8"/>
      <c r="L223" s="8"/>
      <c r="M223" s="8"/>
      <c r="N223" s="8"/>
      <c r="O223" s="8"/>
      <c r="P223" s="8"/>
      <c r="Q223" s="8"/>
      <c r="R223" s="8"/>
      <c r="S223" s="8"/>
      <c r="T223" s="8"/>
      <c r="U223" s="8"/>
      <c r="V223" s="8"/>
      <c r="W223" s="8"/>
    </row>
    <row r="224" spans="1:23" x14ac:dyDescent="0.25">
      <c r="A224" s="8"/>
      <c r="B224" s="8"/>
      <c r="C224" s="8"/>
      <c r="D224" s="8"/>
      <c r="E224" s="8"/>
      <c r="F224" s="8"/>
      <c r="G224" s="8"/>
      <c r="H224" s="8"/>
      <c r="I224" s="8"/>
      <c r="J224" s="8"/>
      <c r="K224" s="8"/>
      <c r="L224" s="8"/>
      <c r="M224" s="8"/>
      <c r="N224" s="8"/>
      <c r="O224" s="8"/>
      <c r="P224" s="8"/>
      <c r="Q224" s="8"/>
      <c r="R224" s="8"/>
      <c r="S224" s="8"/>
      <c r="T224" s="8"/>
      <c r="U224" s="8"/>
      <c r="V224" s="8"/>
      <c r="W224" s="8"/>
    </row>
    <row r="225" spans="1:23" x14ac:dyDescent="0.25">
      <c r="A225" s="8"/>
      <c r="B225" s="8"/>
      <c r="C225" s="8"/>
      <c r="D225" s="8"/>
      <c r="E225" s="8"/>
      <c r="F225" s="8"/>
      <c r="G225" s="8"/>
      <c r="H225" s="8"/>
      <c r="I225" s="8"/>
      <c r="J225" s="8"/>
      <c r="K225" s="8"/>
      <c r="L225" s="8"/>
      <c r="M225" s="8"/>
      <c r="N225" s="8"/>
      <c r="O225" s="8"/>
      <c r="P225" s="8"/>
      <c r="Q225" s="8"/>
      <c r="R225" s="8"/>
      <c r="S225" s="8"/>
      <c r="T225" s="8"/>
      <c r="U225" s="8"/>
      <c r="V225" s="8"/>
      <c r="W225" s="8"/>
    </row>
    <row r="226" spans="1:23" x14ac:dyDescent="0.25">
      <c r="A226" s="8"/>
      <c r="B226" s="8"/>
      <c r="C226" s="8"/>
      <c r="D226" s="8"/>
      <c r="E226" s="8"/>
      <c r="F226" s="8"/>
      <c r="G226" s="8"/>
      <c r="H226" s="8"/>
      <c r="I226" s="8"/>
      <c r="J226" s="8"/>
      <c r="K226" s="8"/>
      <c r="L226" s="8"/>
      <c r="M226" s="8"/>
      <c r="N226" s="8"/>
      <c r="O226" s="8"/>
      <c r="P226" s="8"/>
      <c r="Q226" s="8"/>
      <c r="R226" s="8"/>
      <c r="S226" s="8"/>
      <c r="T226" s="8"/>
      <c r="U226" s="8"/>
      <c r="V226" s="8"/>
      <c r="W226" s="8"/>
    </row>
    <row r="227" spans="1:23" x14ac:dyDescent="0.25">
      <c r="A227" s="8"/>
      <c r="B227" s="8"/>
      <c r="C227" s="8"/>
      <c r="D227" s="8"/>
      <c r="E227" s="8"/>
      <c r="F227" s="8"/>
      <c r="G227" s="8"/>
      <c r="H227" s="8"/>
      <c r="I227" s="8"/>
      <c r="J227" s="8"/>
      <c r="K227" s="8"/>
      <c r="L227" s="8"/>
      <c r="M227" s="8"/>
      <c r="N227" s="8"/>
      <c r="O227" s="8"/>
      <c r="P227" s="8"/>
      <c r="Q227" s="8"/>
      <c r="R227" s="8"/>
      <c r="S227" s="8"/>
      <c r="T227" s="8"/>
      <c r="U227" s="8"/>
      <c r="V227" s="8"/>
      <c r="W227" s="8"/>
    </row>
    <row r="228" spans="1:23" x14ac:dyDescent="0.25">
      <c r="A228" s="8"/>
      <c r="B228" s="8"/>
      <c r="C228" s="8"/>
      <c r="D228" s="8"/>
      <c r="E228" s="8"/>
      <c r="F228" s="8"/>
      <c r="G228" s="8"/>
      <c r="H228" s="8"/>
      <c r="I228" s="8"/>
      <c r="J228" s="8"/>
      <c r="K228" s="8"/>
      <c r="L228" s="8"/>
      <c r="M228" s="8"/>
      <c r="N228" s="8"/>
      <c r="O228" s="8"/>
      <c r="P228" s="8"/>
      <c r="Q228" s="8"/>
      <c r="R228" s="8"/>
      <c r="S228" s="8"/>
      <c r="T228" s="8"/>
      <c r="U228" s="8"/>
      <c r="V228" s="8"/>
      <c r="W228" s="8"/>
    </row>
    <row r="229" spans="1:23" x14ac:dyDescent="0.25">
      <c r="A229" s="8"/>
      <c r="B229" s="8"/>
      <c r="C229" s="8"/>
      <c r="D229" s="8"/>
      <c r="E229" s="8"/>
      <c r="F229" s="8"/>
      <c r="G229" s="8"/>
      <c r="H229" s="8"/>
      <c r="I229" s="8"/>
      <c r="J229" s="8"/>
      <c r="K229" s="8"/>
      <c r="L229" s="8"/>
      <c r="M229" s="8"/>
      <c r="N229" s="8"/>
      <c r="O229" s="8"/>
      <c r="P229" s="8"/>
      <c r="Q229" s="8"/>
      <c r="R229" s="8"/>
      <c r="S229" s="8"/>
      <c r="T229" s="8"/>
      <c r="U229" s="8"/>
      <c r="V229" s="8"/>
      <c r="W229" s="8"/>
    </row>
    <row r="230" spans="1:23" x14ac:dyDescent="0.25">
      <c r="A230" s="8"/>
      <c r="B230" s="8"/>
      <c r="C230" s="8"/>
      <c r="D230" s="8"/>
      <c r="E230" s="8"/>
      <c r="F230" s="8"/>
      <c r="G230" s="8"/>
      <c r="H230" s="8"/>
      <c r="I230" s="8"/>
      <c r="J230" s="8"/>
      <c r="K230" s="8"/>
      <c r="L230" s="8"/>
      <c r="M230" s="8"/>
      <c r="N230" s="8"/>
      <c r="O230" s="8"/>
      <c r="P230" s="8"/>
      <c r="Q230" s="8"/>
      <c r="R230" s="8"/>
      <c r="S230" s="8"/>
      <c r="T230" s="8"/>
      <c r="U230" s="8"/>
      <c r="V230" s="8"/>
      <c r="W230" s="8"/>
    </row>
    <row r="231" spans="1:23" x14ac:dyDescent="0.25">
      <c r="A231" s="8"/>
      <c r="B231" s="8"/>
      <c r="C231" s="8"/>
      <c r="D231" s="8"/>
      <c r="E231" s="8"/>
      <c r="F231" s="8"/>
      <c r="G231" s="8"/>
      <c r="H231" s="8"/>
      <c r="I231" s="8"/>
      <c r="J231" s="8"/>
      <c r="K231" s="8"/>
      <c r="L231" s="8"/>
      <c r="M231" s="8"/>
      <c r="N231" s="8"/>
      <c r="O231" s="8"/>
      <c r="P231" s="8"/>
      <c r="Q231" s="8"/>
      <c r="R231" s="8"/>
      <c r="S231" s="8"/>
      <c r="T231" s="8"/>
      <c r="U231" s="8"/>
      <c r="V231" s="8"/>
      <c r="W231" s="8"/>
    </row>
    <row r="232" spans="1:23" x14ac:dyDescent="0.25">
      <c r="A232" s="8"/>
      <c r="B232" s="8"/>
      <c r="C232" s="8"/>
      <c r="D232" s="8"/>
      <c r="E232" s="8"/>
      <c r="F232" s="8"/>
      <c r="G232" s="8"/>
      <c r="H232" s="8"/>
      <c r="I232" s="8"/>
      <c r="J232" s="8"/>
      <c r="K232" s="8"/>
      <c r="L232" s="8"/>
      <c r="M232" s="8"/>
      <c r="N232" s="8"/>
      <c r="O232" s="8"/>
      <c r="P232" s="8"/>
      <c r="Q232" s="8"/>
      <c r="R232" s="8"/>
      <c r="S232" s="8"/>
      <c r="T232" s="8"/>
      <c r="U232" s="8"/>
      <c r="V232" s="8"/>
      <c r="W232" s="8"/>
    </row>
    <row r="233" spans="1:23" x14ac:dyDescent="0.25">
      <c r="A233" s="8"/>
      <c r="B233" s="8"/>
      <c r="C233" s="8"/>
      <c r="D233" s="8"/>
      <c r="E233" s="8"/>
      <c r="F233" s="8"/>
      <c r="G233" s="8"/>
      <c r="H233" s="8"/>
      <c r="I233" s="8"/>
      <c r="J233" s="8"/>
      <c r="K233" s="8"/>
      <c r="L233" s="8"/>
      <c r="M233" s="8"/>
      <c r="N233" s="8"/>
      <c r="O233" s="8"/>
      <c r="P233" s="8"/>
      <c r="Q233" s="8"/>
      <c r="R233" s="8"/>
      <c r="S233" s="8"/>
      <c r="T233" s="8"/>
      <c r="U233" s="8"/>
      <c r="V233" s="8"/>
      <c r="W233" s="8"/>
    </row>
    <row r="234" spans="1:23" x14ac:dyDescent="0.25">
      <c r="A234" s="8"/>
      <c r="B234" s="8"/>
      <c r="C234" s="8"/>
      <c r="D234" s="8"/>
      <c r="E234" s="8"/>
      <c r="F234" s="8"/>
      <c r="G234" s="8"/>
      <c r="H234" s="8"/>
      <c r="I234" s="8"/>
      <c r="J234" s="8"/>
      <c r="K234" s="8"/>
      <c r="L234" s="8"/>
      <c r="M234" s="8"/>
      <c r="N234" s="8"/>
      <c r="O234" s="8"/>
      <c r="P234" s="8"/>
      <c r="Q234" s="8"/>
      <c r="R234" s="8"/>
      <c r="S234" s="8"/>
      <c r="T234" s="8"/>
      <c r="U234" s="8"/>
      <c r="V234" s="8"/>
      <c r="W234" s="8"/>
    </row>
    <row r="235" spans="1:23" x14ac:dyDescent="0.25">
      <c r="A235" s="8"/>
      <c r="B235" s="8"/>
      <c r="C235" s="8"/>
      <c r="D235" s="8"/>
      <c r="E235" s="8"/>
      <c r="F235" s="8"/>
      <c r="G235" s="8"/>
      <c r="H235" s="8"/>
      <c r="I235" s="8"/>
      <c r="J235" s="8"/>
      <c r="K235" s="8"/>
      <c r="L235" s="8"/>
      <c r="M235" s="8"/>
      <c r="N235" s="8"/>
      <c r="O235" s="8"/>
      <c r="P235" s="8"/>
      <c r="Q235" s="8"/>
      <c r="R235" s="8"/>
      <c r="S235" s="8"/>
      <c r="T235" s="8"/>
      <c r="U235" s="8"/>
      <c r="V235" s="8"/>
      <c r="W235" s="8"/>
    </row>
    <row r="236" spans="1:23" x14ac:dyDescent="0.25">
      <c r="A236" s="8"/>
      <c r="B236" s="8"/>
      <c r="C236" s="8"/>
      <c r="D236" s="8"/>
      <c r="E236" s="8"/>
      <c r="F236" s="8"/>
      <c r="G236" s="8"/>
      <c r="H236" s="8"/>
      <c r="I236" s="8"/>
      <c r="J236" s="8"/>
      <c r="K236" s="8"/>
      <c r="L236" s="8"/>
      <c r="M236" s="8"/>
      <c r="N236" s="8"/>
      <c r="O236" s="8"/>
      <c r="P236" s="8"/>
      <c r="Q236" s="8"/>
      <c r="R236" s="8"/>
      <c r="S236" s="8"/>
      <c r="T236" s="8"/>
      <c r="U236" s="8"/>
      <c r="V236" s="8"/>
      <c r="W236" s="8"/>
    </row>
    <row r="237" spans="1:23" x14ac:dyDescent="0.25">
      <c r="A237" s="8"/>
      <c r="B237" s="8"/>
      <c r="C237" s="8"/>
      <c r="D237" s="8"/>
      <c r="E237" s="8"/>
      <c r="F237" s="8"/>
      <c r="G237" s="8"/>
      <c r="H237" s="8"/>
      <c r="I237" s="8"/>
      <c r="J237" s="8"/>
      <c r="K237" s="8"/>
      <c r="L237" s="8"/>
      <c r="M237" s="8"/>
      <c r="N237" s="8"/>
      <c r="O237" s="8"/>
      <c r="P237" s="8"/>
      <c r="Q237" s="8"/>
      <c r="R237" s="8"/>
      <c r="S237" s="8"/>
      <c r="T237" s="8"/>
      <c r="U237" s="8"/>
      <c r="V237" s="8"/>
      <c r="W237" s="8"/>
    </row>
    <row r="238" spans="1:23" x14ac:dyDescent="0.25">
      <c r="A238" s="8"/>
      <c r="B238" s="8"/>
      <c r="C238" s="8"/>
      <c r="D238" s="8"/>
      <c r="E238" s="8"/>
      <c r="F238" s="8"/>
      <c r="G238" s="8"/>
      <c r="H238" s="8"/>
      <c r="I238" s="8"/>
      <c r="J238" s="8"/>
      <c r="K238" s="8"/>
      <c r="L238" s="8"/>
      <c r="M238" s="8"/>
      <c r="N238" s="8"/>
      <c r="O238" s="8"/>
      <c r="P238" s="8"/>
      <c r="Q238" s="8"/>
      <c r="R238" s="8"/>
      <c r="S238" s="8"/>
      <c r="T238" s="8"/>
      <c r="U238" s="8"/>
      <c r="V238" s="8"/>
      <c r="W238" s="8"/>
    </row>
    <row r="239" spans="1:23" x14ac:dyDescent="0.25">
      <c r="A239" s="8"/>
      <c r="B239" s="8"/>
      <c r="C239" s="8"/>
      <c r="D239" s="8"/>
      <c r="E239" s="8"/>
      <c r="F239" s="8"/>
      <c r="G239" s="8"/>
      <c r="H239" s="8"/>
      <c r="I239" s="8"/>
      <c r="J239" s="8"/>
      <c r="K239" s="8"/>
      <c r="L239" s="8"/>
      <c r="M239" s="8"/>
      <c r="N239" s="8"/>
      <c r="O239" s="8"/>
      <c r="P239" s="8"/>
      <c r="Q239" s="8"/>
      <c r="R239" s="8"/>
      <c r="S239" s="8"/>
      <c r="T239" s="8"/>
      <c r="U239" s="8"/>
      <c r="V239" s="8"/>
      <c r="W239" s="8"/>
    </row>
    <row r="240" spans="1:23" x14ac:dyDescent="0.25">
      <c r="A240" s="8"/>
      <c r="B240" s="8"/>
      <c r="C240" s="8"/>
      <c r="D240" s="8"/>
      <c r="E240" s="8"/>
      <c r="F240" s="8"/>
      <c r="G240" s="8"/>
      <c r="H240" s="8"/>
      <c r="I240" s="8"/>
      <c r="J240" s="8"/>
      <c r="K240" s="8"/>
      <c r="L240" s="8"/>
      <c r="M240" s="8"/>
      <c r="N240" s="8"/>
      <c r="O240" s="8"/>
      <c r="P240" s="8"/>
      <c r="Q240" s="8"/>
      <c r="R240" s="8"/>
      <c r="S240" s="8"/>
      <c r="T240" s="8"/>
      <c r="U240" s="8"/>
      <c r="V240" s="8"/>
      <c r="W240" s="8"/>
    </row>
    <row r="241" spans="1:23" x14ac:dyDescent="0.25">
      <c r="A241" s="8"/>
      <c r="B241" s="8"/>
      <c r="C241" s="8"/>
      <c r="D241" s="8"/>
      <c r="E241" s="8"/>
      <c r="F241" s="8"/>
      <c r="G241" s="8"/>
      <c r="H241" s="8"/>
      <c r="I241" s="8"/>
      <c r="J241" s="8"/>
      <c r="K241" s="8"/>
      <c r="L241" s="8"/>
      <c r="M241" s="8"/>
      <c r="N241" s="8"/>
      <c r="O241" s="8"/>
      <c r="P241" s="8"/>
      <c r="Q241" s="8"/>
      <c r="R241" s="8"/>
      <c r="S241" s="8"/>
      <c r="T241" s="8"/>
      <c r="U241" s="8"/>
      <c r="V241" s="8"/>
      <c r="W241" s="8"/>
    </row>
    <row r="242" spans="1:23" x14ac:dyDescent="0.25">
      <c r="A242" s="8"/>
      <c r="B242" s="8"/>
      <c r="C242" s="8"/>
      <c r="D242" s="8"/>
      <c r="E242" s="8"/>
      <c r="F242" s="8"/>
      <c r="G242" s="8"/>
      <c r="H242" s="8"/>
      <c r="I242" s="8"/>
      <c r="J242" s="8"/>
      <c r="K242" s="8"/>
      <c r="L242" s="8"/>
      <c r="M242" s="8"/>
      <c r="N242" s="8"/>
      <c r="O242" s="8"/>
      <c r="P242" s="8"/>
      <c r="Q242" s="8"/>
      <c r="R242" s="8"/>
      <c r="S242" s="8"/>
      <c r="T242" s="8"/>
      <c r="U242" s="8"/>
      <c r="V242" s="8"/>
      <c r="W242" s="8"/>
    </row>
    <row r="243" spans="1:23" x14ac:dyDescent="0.25">
      <c r="A243" s="8"/>
      <c r="B243" s="8"/>
      <c r="C243" s="8"/>
      <c r="D243" s="8"/>
      <c r="E243" s="8"/>
      <c r="F243" s="8"/>
      <c r="G243" s="8"/>
      <c r="H243" s="8"/>
      <c r="I243" s="8"/>
      <c r="J243" s="8"/>
      <c r="K243" s="8"/>
      <c r="L243" s="8"/>
      <c r="M243" s="8"/>
      <c r="N243" s="8"/>
      <c r="O243" s="8"/>
      <c r="P243" s="8"/>
      <c r="Q243" s="8"/>
      <c r="R243" s="8"/>
      <c r="S243" s="8"/>
      <c r="T243" s="8"/>
      <c r="U243" s="8"/>
      <c r="V243" s="8"/>
      <c r="W243" s="8"/>
    </row>
    <row r="244" spans="1:23" x14ac:dyDescent="0.25">
      <c r="A244" s="8"/>
      <c r="B244" s="8"/>
      <c r="C244" s="8"/>
      <c r="D244" s="8"/>
      <c r="E244" s="8"/>
      <c r="F244" s="8"/>
      <c r="G244" s="8"/>
      <c r="H244" s="8"/>
      <c r="I244" s="8"/>
      <c r="J244" s="8"/>
      <c r="K244" s="8"/>
      <c r="L244" s="8"/>
      <c r="M244" s="8"/>
      <c r="N244" s="8"/>
      <c r="O244" s="8"/>
      <c r="P244" s="8"/>
      <c r="Q244" s="8"/>
      <c r="R244" s="8"/>
      <c r="S244" s="8"/>
      <c r="T244" s="8"/>
      <c r="U244" s="8"/>
      <c r="V244" s="8"/>
      <c r="W244" s="8"/>
    </row>
    <row r="245" spans="1:23" x14ac:dyDescent="0.25">
      <c r="A245" s="8"/>
      <c r="B245" s="8"/>
      <c r="C245" s="8"/>
      <c r="D245" s="8"/>
      <c r="E245" s="8"/>
      <c r="F245" s="8"/>
      <c r="G245" s="8"/>
      <c r="H245" s="8"/>
      <c r="I245" s="8"/>
      <c r="J245" s="8"/>
      <c r="K245" s="8"/>
      <c r="L245" s="8"/>
      <c r="M245" s="8"/>
      <c r="N245" s="8"/>
      <c r="O245" s="8"/>
      <c r="P245" s="8"/>
      <c r="Q245" s="8"/>
      <c r="R245" s="8"/>
      <c r="S245" s="8"/>
      <c r="T245" s="8"/>
      <c r="U245" s="8"/>
      <c r="V245" s="8"/>
      <c r="W245" s="8"/>
    </row>
    <row r="246" spans="1:23" x14ac:dyDescent="0.25">
      <c r="A246" s="8"/>
      <c r="B246" s="8"/>
      <c r="C246" s="8"/>
      <c r="D246" s="8"/>
      <c r="E246" s="8"/>
      <c r="F246" s="8"/>
      <c r="G246" s="8"/>
      <c r="H246" s="8"/>
      <c r="I246" s="8"/>
      <c r="J246" s="8"/>
      <c r="K246" s="8"/>
      <c r="L246" s="8"/>
      <c r="M246" s="8"/>
      <c r="N246" s="8"/>
      <c r="O246" s="8"/>
      <c r="P246" s="8"/>
      <c r="Q246" s="8"/>
      <c r="R246" s="8"/>
      <c r="S246" s="8"/>
      <c r="T246" s="8"/>
      <c r="U246" s="8"/>
      <c r="V246" s="8"/>
      <c r="W246" s="8"/>
    </row>
    <row r="247" spans="1:23" x14ac:dyDescent="0.25">
      <c r="A247" s="8"/>
      <c r="B247" s="8"/>
      <c r="C247" s="8"/>
      <c r="D247" s="8"/>
      <c r="E247" s="8"/>
      <c r="F247" s="8"/>
      <c r="G247" s="8"/>
      <c r="H247" s="8"/>
      <c r="I247" s="8"/>
      <c r="J247" s="8"/>
      <c r="K247" s="8"/>
      <c r="L247" s="8"/>
      <c r="M247" s="8"/>
      <c r="N247" s="8"/>
      <c r="O247" s="8"/>
      <c r="P247" s="8"/>
      <c r="Q247" s="8"/>
      <c r="R247" s="8"/>
      <c r="S247" s="8"/>
      <c r="T247" s="8"/>
      <c r="U247" s="8"/>
      <c r="V247" s="8"/>
      <c r="W247" s="8"/>
    </row>
    <row r="248" spans="1:23" x14ac:dyDescent="0.25">
      <c r="A248" s="8"/>
      <c r="B248" s="8"/>
      <c r="C248" s="8"/>
      <c r="D248" s="8"/>
      <c r="E248" s="8"/>
      <c r="F248" s="8"/>
      <c r="G248" s="8"/>
      <c r="H248" s="8"/>
      <c r="I248" s="8"/>
      <c r="J248" s="8"/>
      <c r="K248" s="8"/>
      <c r="L248" s="8"/>
      <c r="M248" s="8"/>
      <c r="N248" s="8"/>
      <c r="O248" s="8"/>
      <c r="P248" s="8"/>
      <c r="Q248" s="8"/>
      <c r="R248" s="8"/>
      <c r="S248" s="8"/>
      <c r="T248" s="8"/>
      <c r="U248" s="8"/>
      <c r="V248" s="8"/>
      <c r="W248" s="8"/>
    </row>
    <row r="249" spans="1:23" x14ac:dyDescent="0.25">
      <c r="A249" s="8"/>
      <c r="B249" s="8"/>
      <c r="C249" s="8"/>
      <c r="D249" s="8"/>
      <c r="E249" s="8"/>
      <c r="F249" s="8"/>
      <c r="G249" s="8"/>
      <c r="H249" s="8"/>
      <c r="I249" s="8"/>
      <c r="J249" s="8"/>
      <c r="K249" s="8"/>
      <c r="L249" s="8"/>
      <c r="M249" s="8"/>
      <c r="N249" s="8"/>
      <c r="O249" s="8"/>
      <c r="P249" s="8"/>
      <c r="Q249" s="8"/>
      <c r="R249" s="8"/>
      <c r="S249" s="8"/>
      <c r="T249" s="8"/>
      <c r="U249" s="8"/>
      <c r="V249" s="8"/>
      <c r="W249" s="8"/>
    </row>
    <row r="250" spans="1:23" x14ac:dyDescent="0.25">
      <c r="A250" s="8"/>
      <c r="B250" s="8"/>
      <c r="C250" s="8"/>
      <c r="D250" s="8"/>
      <c r="E250" s="8"/>
      <c r="F250" s="8"/>
      <c r="G250" s="8"/>
      <c r="H250" s="8"/>
      <c r="I250" s="8"/>
      <c r="J250" s="8"/>
      <c r="K250" s="8"/>
      <c r="L250" s="8"/>
      <c r="M250" s="8"/>
      <c r="N250" s="8"/>
      <c r="O250" s="8"/>
      <c r="P250" s="8"/>
      <c r="Q250" s="8"/>
      <c r="R250" s="8"/>
      <c r="S250" s="8"/>
      <c r="T250" s="8"/>
      <c r="U250" s="8"/>
      <c r="V250" s="8"/>
      <c r="W250" s="8"/>
    </row>
    <row r="251" spans="1:23" x14ac:dyDescent="0.25">
      <c r="A251" s="8"/>
      <c r="B251" s="8"/>
      <c r="C251" s="8"/>
      <c r="D251" s="8"/>
      <c r="E251" s="8"/>
      <c r="F251" s="8"/>
      <c r="G251" s="8"/>
      <c r="H251" s="8"/>
      <c r="I251" s="8"/>
      <c r="J251" s="8"/>
      <c r="K251" s="8"/>
      <c r="L251" s="8"/>
      <c r="M251" s="8"/>
      <c r="N251" s="8"/>
      <c r="O251" s="8"/>
      <c r="P251" s="8"/>
      <c r="Q251" s="8"/>
      <c r="R251" s="8"/>
      <c r="S251" s="8"/>
      <c r="T251" s="8"/>
      <c r="U251" s="8"/>
      <c r="V251" s="8"/>
      <c r="W251" s="8"/>
    </row>
    <row r="252" spans="1:23" x14ac:dyDescent="0.25">
      <c r="A252" s="8"/>
      <c r="B252" s="8"/>
      <c r="C252" s="8"/>
      <c r="D252" s="8"/>
      <c r="E252" s="8"/>
      <c r="F252" s="8"/>
      <c r="G252" s="8"/>
      <c r="H252" s="8"/>
      <c r="I252" s="8"/>
      <c r="J252" s="8"/>
      <c r="K252" s="8"/>
      <c r="L252" s="8"/>
      <c r="M252" s="8"/>
      <c r="N252" s="8"/>
      <c r="O252" s="8"/>
      <c r="P252" s="8"/>
      <c r="Q252" s="8"/>
      <c r="R252" s="8"/>
      <c r="S252" s="8"/>
      <c r="T252" s="8"/>
      <c r="U252" s="8"/>
      <c r="V252" s="8"/>
      <c r="W252" s="8"/>
    </row>
    <row r="253" spans="1:23" x14ac:dyDescent="0.25">
      <c r="A253" s="8"/>
      <c r="B253" s="8"/>
      <c r="C253" s="8"/>
      <c r="D253" s="8"/>
      <c r="E253" s="8"/>
      <c r="F253" s="8"/>
      <c r="G253" s="8"/>
      <c r="H253" s="8"/>
      <c r="I253" s="8"/>
      <c r="J253" s="8"/>
      <c r="K253" s="8"/>
      <c r="L253" s="8"/>
      <c r="M253" s="8"/>
      <c r="N253" s="8"/>
      <c r="O253" s="8"/>
      <c r="P253" s="8"/>
      <c r="Q253" s="8"/>
      <c r="R253" s="8"/>
      <c r="S253" s="8"/>
      <c r="T253" s="8"/>
      <c r="U253" s="8"/>
      <c r="V253" s="8"/>
      <c r="W253" s="8"/>
    </row>
    <row r="254" spans="1:23" x14ac:dyDescent="0.25">
      <c r="A254" s="8"/>
      <c r="B254" s="8"/>
      <c r="C254" s="8"/>
      <c r="D254" s="8"/>
      <c r="E254" s="8"/>
      <c r="F254" s="8"/>
      <c r="G254" s="8"/>
      <c r="H254" s="8"/>
      <c r="I254" s="8"/>
      <c r="J254" s="8"/>
      <c r="K254" s="8"/>
      <c r="L254" s="8"/>
      <c r="M254" s="8"/>
      <c r="N254" s="8"/>
      <c r="O254" s="8"/>
      <c r="P254" s="8"/>
      <c r="Q254" s="8"/>
      <c r="R254" s="8"/>
      <c r="S254" s="8"/>
      <c r="T254" s="8"/>
      <c r="U254" s="8"/>
      <c r="V254" s="8"/>
      <c r="W254" s="8"/>
    </row>
    <row r="255" spans="1:23" x14ac:dyDescent="0.25">
      <c r="A255" s="8"/>
      <c r="B255" s="8"/>
      <c r="C255" s="8"/>
      <c r="D255" s="8"/>
      <c r="E255" s="8"/>
      <c r="F255" s="8"/>
      <c r="G255" s="8"/>
      <c r="H255" s="8"/>
      <c r="I255" s="8"/>
      <c r="J255" s="8"/>
      <c r="K255" s="8"/>
      <c r="L255" s="8"/>
      <c r="M255" s="8"/>
      <c r="N255" s="8"/>
      <c r="O255" s="8"/>
      <c r="P255" s="8"/>
      <c r="Q255" s="8"/>
      <c r="R255" s="8"/>
      <c r="S255" s="8"/>
      <c r="T255" s="8"/>
      <c r="U255" s="8"/>
      <c r="V255" s="8"/>
      <c r="W255" s="8"/>
    </row>
    <row r="256" spans="1:23" x14ac:dyDescent="0.25">
      <c r="A256" s="8"/>
      <c r="B256" s="8"/>
      <c r="C256" s="8"/>
      <c r="D256" s="8"/>
      <c r="E256" s="8"/>
      <c r="F256" s="8"/>
      <c r="G256" s="8"/>
      <c r="H256" s="8"/>
      <c r="I256" s="8"/>
      <c r="J256" s="8"/>
      <c r="K256" s="8"/>
      <c r="L256" s="8"/>
      <c r="M256" s="8"/>
      <c r="N256" s="8"/>
      <c r="O256" s="8"/>
      <c r="P256" s="8"/>
      <c r="Q256" s="8"/>
      <c r="R256" s="8"/>
      <c r="S256" s="8"/>
      <c r="T256" s="8"/>
      <c r="U256" s="8"/>
      <c r="V256" s="8"/>
      <c r="W256" s="8"/>
    </row>
    <row r="257" spans="1:23" x14ac:dyDescent="0.25">
      <c r="A257" s="8"/>
      <c r="B257" s="8"/>
      <c r="C257" s="8"/>
      <c r="D257" s="8"/>
      <c r="E257" s="8"/>
      <c r="F257" s="8"/>
      <c r="G257" s="8"/>
      <c r="H257" s="8"/>
      <c r="I257" s="8"/>
      <c r="J257" s="8"/>
      <c r="K257" s="8"/>
      <c r="L257" s="8"/>
      <c r="M257" s="8"/>
      <c r="N257" s="8"/>
      <c r="O257" s="8"/>
      <c r="P257" s="8"/>
      <c r="Q257" s="8"/>
      <c r="R257" s="8"/>
      <c r="S257" s="8"/>
      <c r="T257" s="8"/>
      <c r="U257" s="8"/>
      <c r="V257" s="8"/>
      <c r="W257" s="8"/>
    </row>
    <row r="258" spans="1:23" x14ac:dyDescent="0.25">
      <c r="A258" s="8"/>
      <c r="B258" s="8"/>
      <c r="C258" s="8"/>
      <c r="D258" s="8"/>
      <c r="E258" s="8"/>
      <c r="F258" s="8"/>
      <c r="G258" s="8"/>
      <c r="H258" s="8"/>
      <c r="I258" s="8"/>
      <c r="J258" s="8"/>
      <c r="K258" s="8"/>
      <c r="L258" s="8"/>
      <c r="M258" s="8"/>
      <c r="N258" s="8"/>
      <c r="O258" s="8"/>
      <c r="P258" s="8"/>
      <c r="Q258" s="8"/>
      <c r="R258" s="8"/>
      <c r="S258" s="8"/>
      <c r="T258" s="8"/>
      <c r="U258" s="8"/>
      <c r="V258" s="8"/>
      <c r="W258" s="8"/>
    </row>
    <row r="259" spans="1:23" x14ac:dyDescent="0.25">
      <c r="A259" s="8"/>
      <c r="B259" s="8"/>
      <c r="C259" s="8"/>
      <c r="D259" s="8"/>
      <c r="E259" s="8"/>
      <c r="F259" s="8"/>
      <c r="G259" s="8"/>
      <c r="H259" s="8"/>
      <c r="I259" s="8"/>
      <c r="J259" s="8"/>
      <c r="K259" s="8"/>
      <c r="L259" s="8"/>
      <c r="M259" s="8"/>
      <c r="N259" s="8"/>
      <c r="O259" s="8"/>
      <c r="P259" s="8"/>
      <c r="Q259" s="8"/>
      <c r="R259" s="8"/>
      <c r="S259" s="8"/>
      <c r="T259" s="8"/>
      <c r="U259" s="8"/>
      <c r="V259" s="8"/>
      <c r="W259" s="8"/>
    </row>
    <row r="260" spans="1:23" x14ac:dyDescent="0.25">
      <c r="A260" s="8"/>
      <c r="B260" s="8"/>
      <c r="C260" s="8"/>
      <c r="D260" s="8"/>
      <c r="E260" s="8"/>
      <c r="F260" s="8"/>
      <c r="G260" s="8"/>
      <c r="H260" s="8"/>
      <c r="I260" s="8"/>
      <c r="J260" s="8"/>
      <c r="K260" s="8"/>
      <c r="L260" s="8"/>
      <c r="M260" s="8"/>
      <c r="N260" s="8"/>
      <c r="O260" s="8"/>
      <c r="P260" s="8"/>
      <c r="Q260" s="8"/>
      <c r="R260" s="8"/>
      <c r="S260" s="8"/>
      <c r="T260" s="8"/>
      <c r="U260" s="8"/>
      <c r="V260" s="8"/>
      <c r="W260" s="8"/>
    </row>
    <row r="261" spans="1:23" x14ac:dyDescent="0.25">
      <c r="A261" s="8"/>
      <c r="B261" s="8"/>
      <c r="C261" s="8"/>
      <c r="D261" s="8"/>
      <c r="E261" s="8"/>
      <c r="F261" s="8"/>
      <c r="G261" s="8"/>
      <c r="H261" s="8"/>
      <c r="I261" s="8"/>
      <c r="J261" s="8"/>
      <c r="K261" s="8"/>
      <c r="L261" s="8"/>
      <c r="M261" s="8"/>
      <c r="N261" s="8"/>
      <c r="O261" s="8"/>
      <c r="P261" s="8"/>
      <c r="Q261" s="8"/>
      <c r="R261" s="8"/>
      <c r="S261" s="8"/>
      <c r="T261" s="8"/>
      <c r="U261" s="8"/>
      <c r="V261" s="8"/>
      <c r="W261" s="8"/>
    </row>
    <row r="262" spans="1:23" x14ac:dyDescent="0.25">
      <c r="A262" s="8"/>
      <c r="B262" s="8"/>
      <c r="C262" s="8"/>
      <c r="D262" s="8"/>
      <c r="E262" s="8"/>
      <c r="F262" s="8"/>
      <c r="G262" s="8"/>
      <c r="H262" s="8"/>
      <c r="I262" s="8"/>
      <c r="J262" s="8"/>
      <c r="K262" s="8"/>
      <c r="L262" s="8"/>
      <c r="M262" s="8"/>
      <c r="N262" s="8"/>
      <c r="O262" s="8"/>
      <c r="P262" s="8"/>
      <c r="Q262" s="8"/>
      <c r="R262" s="8"/>
      <c r="S262" s="8"/>
      <c r="T262" s="8"/>
      <c r="U262" s="8"/>
      <c r="V262" s="8"/>
      <c r="W262" s="8"/>
    </row>
    <row r="263" spans="1:23" x14ac:dyDescent="0.25">
      <c r="A263" s="8"/>
      <c r="B263" s="8"/>
      <c r="C263" s="8"/>
      <c r="D263" s="8"/>
      <c r="E263" s="8"/>
      <c r="F263" s="8"/>
      <c r="G263" s="8"/>
      <c r="H263" s="8"/>
      <c r="I263" s="8"/>
      <c r="J263" s="8"/>
      <c r="K263" s="8"/>
      <c r="L263" s="8"/>
      <c r="M263" s="8"/>
      <c r="N263" s="8"/>
      <c r="O263" s="8"/>
      <c r="P263" s="8"/>
      <c r="Q263" s="8"/>
      <c r="R263" s="8"/>
      <c r="S263" s="8"/>
      <c r="T263" s="8"/>
      <c r="U263" s="8"/>
      <c r="V263" s="8"/>
      <c r="W263" s="8"/>
    </row>
    <row r="264" spans="1:23" x14ac:dyDescent="0.25">
      <c r="A264" s="8"/>
      <c r="B264" s="8"/>
      <c r="C264" s="8"/>
      <c r="D264" s="8"/>
      <c r="E264" s="8"/>
      <c r="F264" s="8"/>
      <c r="G264" s="8"/>
      <c r="H264" s="8"/>
      <c r="I264" s="8"/>
      <c r="J264" s="8"/>
      <c r="K264" s="8"/>
      <c r="L264" s="8"/>
      <c r="M264" s="8"/>
      <c r="N264" s="8"/>
      <c r="O264" s="8"/>
      <c r="P264" s="8"/>
      <c r="Q264" s="8"/>
      <c r="R264" s="8"/>
      <c r="S264" s="8"/>
      <c r="T264" s="8"/>
      <c r="U264" s="8"/>
      <c r="V264" s="8"/>
      <c r="W264" s="8"/>
    </row>
    <row r="265" spans="1:23" x14ac:dyDescent="0.25">
      <c r="A265" s="8"/>
      <c r="B265" s="8"/>
      <c r="C265" s="8"/>
      <c r="D265" s="8"/>
      <c r="E265" s="8"/>
      <c r="F265" s="8"/>
      <c r="G265" s="8"/>
      <c r="H265" s="8"/>
      <c r="I265" s="8"/>
      <c r="J265" s="8"/>
      <c r="K265" s="8"/>
      <c r="L265" s="8"/>
      <c r="M265" s="8"/>
      <c r="N265" s="8"/>
      <c r="O265" s="8"/>
      <c r="P265" s="8"/>
      <c r="Q265" s="8"/>
      <c r="R265" s="8"/>
      <c r="S265" s="8"/>
      <c r="T265" s="8"/>
      <c r="U265" s="8"/>
      <c r="V265" s="8"/>
      <c r="W265" s="8"/>
    </row>
    <row r="266" spans="1:23" x14ac:dyDescent="0.25">
      <c r="A266" s="8"/>
      <c r="B266" s="8"/>
      <c r="C266" s="8"/>
      <c r="D266" s="8"/>
      <c r="E266" s="8"/>
      <c r="F266" s="8"/>
      <c r="G266" s="8"/>
      <c r="H266" s="8"/>
      <c r="I266" s="8"/>
      <c r="J266" s="8"/>
      <c r="K266" s="8"/>
      <c r="L266" s="8"/>
      <c r="M266" s="8"/>
      <c r="N266" s="8"/>
      <c r="O266" s="8"/>
      <c r="P266" s="8"/>
      <c r="Q266" s="8"/>
      <c r="R266" s="8"/>
      <c r="S266" s="8"/>
      <c r="T266" s="8"/>
      <c r="U266" s="8"/>
      <c r="V266" s="8"/>
      <c r="W266" s="8"/>
    </row>
    <row r="267" spans="1:23" x14ac:dyDescent="0.25">
      <c r="A267" s="8"/>
      <c r="B267" s="8"/>
      <c r="C267" s="8"/>
      <c r="D267" s="8"/>
      <c r="E267" s="8"/>
      <c r="F267" s="8"/>
      <c r="G267" s="8"/>
      <c r="H267" s="8"/>
      <c r="I267" s="8"/>
      <c r="J267" s="8"/>
      <c r="K267" s="8"/>
      <c r="L267" s="8"/>
      <c r="M267" s="8"/>
      <c r="N267" s="8"/>
      <c r="O267" s="8"/>
      <c r="P267" s="8"/>
      <c r="Q267" s="8"/>
      <c r="R267" s="8"/>
      <c r="S267" s="8"/>
      <c r="T267" s="8"/>
      <c r="U267" s="8"/>
      <c r="V267" s="8"/>
      <c r="W267" s="8"/>
    </row>
    <row r="268" spans="1:23" x14ac:dyDescent="0.25">
      <c r="A268" s="8"/>
      <c r="B268" s="8"/>
      <c r="C268" s="8"/>
      <c r="D268" s="8"/>
      <c r="E268" s="8"/>
      <c r="F268" s="8"/>
      <c r="G268" s="8"/>
      <c r="H268" s="8"/>
      <c r="I268" s="8"/>
      <c r="J268" s="8"/>
      <c r="K268" s="8"/>
      <c r="L268" s="8"/>
      <c r="M268" s="8"/>
      <c r="N268" s="8"/>
      <c r="O268" s="8"/>
      <c r="P268" s="8"/>
      <c r="Q268" s="8"/>
      <c r="R268" s="8"/>
      <c r="S268" s="8"/>
      <c r="T268" s="8"/>
      <c r="U268" s="8"/>
      <c r="V268" s="8"/>
      <c r="W268" s="8"/>
    </row>
    <row r="269" spans="1:23" x14ac:dyDescent="0.25">
      <c r="A269" s="8"/>
      <c r="B269" s="8"/>
      <c r="C269" s="8"/>
      <c r="D269" s="8"/>
      <c r="E269" s="8"/>
      <c r="F269" s="8"/>
      <c r="G269" s="8"/>
      <c r="H269" s="8"/>
      <c r="I269" s="8"/>
      <c r="J269" s="8"/>
      <c r="K269" s="8"/>
      <c r="L269" s="8"/>
      <c r="M269" s="8"/>
      <c r="N269" s="8"/>
      <c r="O269" s="8"/>
      <c r="P269" s="8"/>
      <c r="Q269" s="8"/>
      <c r="R269" s="8"/>
      <c r="S269" s="8"/>
      <c r="T269" s="8"/>
      <c r="U269" s="8"/>
      <c r="V269" s="8"/>
      <c r="W269" s="8"/>
    </row>
    <row r="270" spans="1:23" x14ac:dyDescent="0.25">
      <c r="A270" s="8"/>
      <c r="B270" s="8"/>
      <c r="C270" s="8"/>
      <c r="D270" s="8"/>
      <c r="E270" s="8"/>
      <c r="F270" s="8"/>
      <c r="G270" s="8"/>
      <c r="H270" s="8"/>
      <c r="I270" s="8"/>
      <c r="J270" s="8"/>
      <c r="K270" s="8"/>
      <c r="L270" s="8"/>
      <c r="M270" s="8"/>
      <c r="N270" s="8"/>
      <c r="O270" s="8"/>
      <c r="P270" s="8"/>
      <c r="Q270" s="8"/>
      <c r="R270" s="8"/>
      <c r="S270" s="8"/>
      <c r="T270" s="8"/>
      <c r="U270" s="8"/>
      <c r="V270" s="8"/>
      <c r="W270" s="8"/>
    </row>
    <row r="271" spans="1:23" x14ac:dyDescent="0.25">
      <c r="A271" s="8"/>
      <c r="B271" s="8"/>
      <c r="C271" s="8"/>
      <c r="D271" s="8"/>
      <c r="E271" s="8"/>
      <c r="F271" s="8"/>
      <c r="G271" s="8"/>
      <c r="H271" s="8"/>
      <c r="I271" s="8"/>
      <c r="J271" s="8"/>
      <c r="K271" s="8"/>
      <c r="L271" s="8"/>
      <c r="M271" s="8"/>
      <c r="N271" s="8"/>
      <c r="O271" s="8"/>
      <c r="P271" s="8"/>
      <c r="Q271" s="8"/>
      <c r="R271" s="8"/>
      <c r="S271" s="8"/>
      <c r="T271" s="8"/>
      <c r="U271" s="8"/>
      <c r="V271" s="8"/>
      <c r="W271" s="8"/>
    </row>
    <row r="272" spans="1:23" x14ac:dyDescent="0.25">
      <c r="A272" s="8"/>
      <c r="B272" s="8"/>
      <c r="C272" s="8"/>
      <c r="D272" s="8"/>
      <c r="E272" s="8"/>
      <c r="F272" s="8"/>
      <c r="G272" s="8"/>
      <c r="H272" s="8"/>
      <c r="I272" s="8"/>
      <c r="J272" s="8"/>
      <c r="K272" s="8"/>
      <c r="L272" s="8"/>
      <c r="M272" s="8"/>
      <c r="N272" s="8"/>
      <c r="O272" s="8"/>
      <c r="P272" s="8"/>
      <c r="Q272" s="8"/>
      <c r="R272" s="8"/>
      <c r="S272" s="8"/>
      <c r="T272" s="8"/>
      <c r="U272" s="8"/>
      <c r="V272" s="8"/>
      <c r="W272" s="8"/>
    </row>
    <row r="273" spans="1:23" x14ac:dyDescent="0.25">
      <c r="A273" s="8"/>
      <c r="B273" s="8"/>
      <c r="C273" s="8"/>
      <c r="D273" s="8"/>
      <c r="E273" s="8"/>
      <c r="F273" s="8"/>
      <c r="G273" s="8"/>
      <c r="H273" s="8"/>
      <c r="I273" s="8"/>
      <c r="J273" s="8"/>
      <c r="K273" s="8"/>
      <c r="L273" s="8"/>
      <c r="M273" s="8"/>
      <c r="N273" s="8"/>
      <c r="O273" s="8"/>
      <c r="P273" s="8"/>
      <c r="Q273" s="8"/>
      <c r="R273" s="8"/>
      <c r="S273" s="8"/>
      <c r="T273" s="8"/>
      <c r="U273" s="8"/>
      <c r="V273" s="8"/>
      <c r="W273" s="8"/>
    </row>
    <row r="274" spans="1:23" x14ac:dyDescent="0.25">
      <c r="A274" s="8"/>
      <c r="B274" s="8"/>
      <c r="C274" s="8"/>
      <c r="D274" s="8"/>
      <c r="E274" s="8"/>
      <c r="F274" s="8"/>
      <c r="G274" s="8"/>
      <c r="H274" s="8"/>
      <c r="I274" s="8"/>
      <c r="J274" s="8"/>
      <c r="K274" s="8"/>
      <c r="L274" s="8"/>
      <c r="M274" s="8"/>
      <c r="N274" s="8"/>
      <c r="O274" s="8"/>
      <c r="P274" s="8"/>
      <c r="Q274" s="8"/>
      <c r="R274" s="8"/>
      <c r="S274" s="8"/>
      <c r="T274" s="8"/>
      <c r="U274" s="8"/>
      <c r="V274" s="8"/>
      <c r="W274" s="8"/>
    </row>
    <row r="275" spans="1:23" x14ac:dyDescent="0.25">
      <c r="A275" s="8"/>
      <c r="B275" s="8"/>
      <c r="C275" s="8"/>
      <c r="D275" s="8"/>
      <c r="E275" s="8"/>
      <c r="F275" s="8"/>
      <c r="G275" s="8"/>
      <c r="H275" s="8"/>
      <c r="I275" s="8"/>
      <c r="J275" s="8"/>
      <c r="K275" s="8"/>
      <c r="L275" s="8"/>
      <c r="M275" s="8"/>
      <c r="N275" s="8"/>
      <c r="O275" s="8"/>
      <c r="P275" s="8"/>
      <c r="Q275" s="8"/>
      <c r="R275" s="8"/>
      <c r="S275" s="8"/>
      <c r="T275" s="8"/>
      <c r="U275" s="8"/>
      <c r="V275" s="8"/>
      <c r="W275" s="8"/>
    </row>
    <row r="276" spans="1:23" x14ac:dyDescent="0.25">
      <c r="A276" s="8"/>
      <c r="B276" s="8"/>
      <c r="C276" s="8"/>
      <c r="D276" s="8"/>
      <c r="E276" s="8"/>
      <c r="F276" s="8"/>
      <c r="G276" s="8"/>
      <c r="H276" s="8"/>
      <c r="I276" s="8"/>
      <c r="J276" s="8"/>
      <c r="K276" s="8"/>
      <c r="L276" s="8"/>
      <c r="M276" s="8"/>
      <c r="N276" s="8"/>
      <c r="O276" s="8"/>
      <c r="P276" s="8"/>
      <c r="Q276" s="8"/>
      <c r="R276" s="8"/>
      <c r="S276" s="8"/>
      <c r="T276" s="8"/>
      <c r="U276" s="8"/>
      <c r="V276" s="8"/>
      <c r="W276" s="8"/>
    </row>
    <row r="277" spans="1:23" x14ac:dyDescent="0.25">
      <c r="A277" s="8"/>
      <c r="B277" s="8"/>
      <c r="C277" s="8"/>
      <c r="D277" s="8"/>
      <c r="E277" s="8"/>
      <c r="F277" s="8"/>
      <c r="G277" s="8"/>
      <c r="H277" s="8"/>
      <c r="I277" s="8"/>
      <c r="J277" s="8"/>
      <c r="K277" s="8"/>
      <c r="L277" s="8"/>
      <c r="M277" s="8"/>
      <c r="N277" s="8"/>
      <c r="O277" s="8"/>
      <c r="P277" s="8"/>
      <c r="Q277" s="8"/>
      <c r="R277" s="8"/>
      <c r="S277" s="8"/>
      <c r="T277" s="8"/>
      <c r="U277" s="8"/>
      <c r="V277" s="8"/>
      <c r="W277" s="8"/>
    </row>
    <row r="278" spans="1:23" x14ac:dyDescent="0.25">
      <c r="A278" s="8"/>
      <c r="B278" s="8"/>
      <c r="C278" s="8"/>
      <c r="D278" s="8"/>
      <c r="E278" s="8"/>
      <c r="F278" s="8"/>
      <c r="G278" s="8"/>
      <c r="H278" s="8"/>
      <c r="I278" s="8"/>
      <c r="J278" s="8"/>
      <c r="K278" s="8"/>
      <c r="L278" s="8"/>
      <c r="M278" s="8"/>
      <c r="N278" s="8"/>
      <c r="O278" s="8"/>
      <c r="P278" s="8"/>
      <c r="Q278" s="8"/>
      <c r="R278" s="8"/>
      <c r="S278" s="8"/>
      <c r="T278" s="8"/>
      <c r="U278" s="8"/>
      <c r="V278" s="8"/>
      <c r="W278" s="8"/>
    </row>
    <row r="279" spans="1:23" x14ac:dyDescent="0.25">
      <c r="A279" s="8"/>
      <c r="B279" s="8"/>
      <c r="C279" s="8"/>
      <c r="D279" s="8"/>
      <c r="E279" s="8"/>
      <c r="F279" s="8"/>
      <c r="G279" s="8"/>
      <c r="H279" s="8"/>
      <c r="I279" s="8"/>
      <c r="J279" s="8"/>
      <c r="K279" s="8"/>
      <c r="L279" s="8"/>
      <c r="M279" s="8"/>
      <c r="N279" s="8"/>
      <c r="O279" s="8"/>
      <c r="P279" s="8"/>
      <c r="Q279" s="8"/>
      <c r="R279" s="8"/>
      <c r="S279" s="8"/>
      <c r="T279" s="8"/>
      <c r="U279" s="8"/>
      <c r="V279" s="8"/>
      <c r="W279" s="8"/>
    </row>
    <row r="280" spans="1:23" x14ac:dyDescent="0.25">
      <c r="A280" s="8"/>
      <c r="B280" s="8"/>
      <c r="C280" s="8"/>
      <c r="D280" s="8"/>
      <c r="E280" s="8"/>
      <c r="F280" s="8"/>
      <c r="G280" s="8"/>
      <c r="H280" s="8"/>
      <c r="I280" s="8"/>
      <c r="J280" s="8"/>
      <c r="K280" s="8"/>
      <c r="L280" s="8"/>
      <c r="M280" s="8"/>
      <c r="N280" s="8"/>
      <c r="O280" s="8"/>
      <c r="P280" s="8"/>
      <c r="Q280" s="8"/>
      <c r="R280" s="8"/>
      <c r="S280" s="8"/>
      <c r="T280" s="8"/>
      <c r="U280" s="8"/>
      <c r="V280" s="8"/>
      <c r="W280" s="8"/>
    </row>
    <row r="281" spans="1:23" x14ac:dyDescent="0.25">
      <c r="A281" s="8"/>
      <c r="B281" s="8"/>
      <c r="C281" s="8"/>
      <c r="D281" s="8"/>
      <c r="E281" s="8"/>
      <c r="F281" s="8"/>
      <c r="G281" s="8"/>
      <c r="H281" s="8"/>
      <c r="I281" s="8"/>
      <c r="J281" s="8"/>
      <c r="K281" s="8"/>
      <c r="L281" s="8"/>
      <c r="M281" s="8"/>
      <c r="N281" s="8"/>
      <c r="O281" s="8"/>
      <c r="P281" s="8"/>
      <c r="Q281" s="8"/>
      <c r="R281" s="8"/>
      <c r="S281" s="8"/>
      <c r="T281" s="8"/>
      <c r="U281" s="8"/>
      <c r="V281" s="8"/>
      <c r="W281" s="8"/>
    </row>
    <row r="282" spans="1:23" x14ac:dyDescent="0.25">
      <c r="A282" s="8"/>
      <c r="B282" s="8"/>
      <c r="C282" s="8"/>
      <c r="D282" s="8"/>
      <c r="E282" s="8"/>
      <c r="F282" s="8"/>
      <c r="G282" s="8"/>
      <c r="H282" s="8"/>
      <c r="I282" s="8"/>
      <c r="J282" s="8"/>
      <c r="K282" s="8"/>
      <c r="L282" s="8"/>
      <c r="M282" s="8"/>
      <c r="N282" s="8"/>
      <c r="O282" s="8"/>
      <c r="P282" s="8"/>
      <c r="Q282" s="8"/>
      <c r="R282" s="8"/>
      <c r="S282" s="8"/>
      <c r="T282" s="8"/>
      <c r="U282" s="8"/>
      <c r="V282" s="8"/>
      <c r="W282" s="8"/>
    </row>
    <row r="283" spans="1:23" x14ac:dyDescent="0.25">
      <c r="A283" s="8"/>
      <c r="B283" s="8"/>
      <c r="C283" s="8"/>
      <c r="D283" s="8"/>
      <c r="E283" s="8"/>
      <c r="F283" s="8"/>
      <c r="G283" s="8"/>
      <c r="H283" s="8"/>
      <c r="I283" s="8"/>
      <c r="J283" s="8"/>
      <c r="K283" s="8"/>
      <c r="L283" s="8"/>
      <c r="M283" s="8"/>
      <c r="N283" s="8"/>
      <c r="O283" s="8"/>
      <c r="P283" s="8"/>
      <c r="Q283" s="8"/>
      <c r="R283" s="8"/>
      <c r="S283" s="8"/>
      <c r="T283" s="8"/>
      <c r="U283" s="8"/>
      <c r="V283" s="8"/>
      <c r="W283" s="8"/>
    </row>
    <row r="284" spans="1:23" x14ac:dyDescent="0.25">
      <c r="A284" s="8"/>
      <c r="B284" s="8"/>
      <c r="C284" s="8"/>
      <c r="D284" s="8"/>
      <c r="E284" s="8"/>
      <c r="F284" s="8"/>
      <c r="G284" s="8"/>
      <c r="H284" s="8"/>
      <c r="I284" s="8"/>
      <c r="J284" s="8"/>
      <c r="K284" s="8"/>
      <c r="L284" s="8"/>
      <c r="M284" s="8"/>
      <c r="N284" s="8"/>
      <c r="O284" s="8"/>
      <c r="P284" s="8"/>
      <c r="Q284" s="8"/>
      <c r="R284" s="8"/>
      <c r="S284" s="8"/>
      <c r="T284" s="8"/>
      <c r="U284" s="8"/>
      <c r="V284" s="8"/>
      <c r="W284" s="8"/>
    </row>
    <row r="285" spans="1:23" x14ac:dyDescent="0.25">
      <c r="A285" s="8"/>
      <c r="B285" s="8"/>
      <c r="C285" s="8"/>
      <c r="D285" s="8"/>
      <c r="E285" s="8"/>
      <c r="F285" s="8"/>
      <c r="G285" s="8"/>
      <c r="H285" s="8"/>
      <c r="I285" s="8"/>
      <c r="J285" s="8"/>
      <c r="K285" s="8"/>
      <c r="L285" s="8"/>
      <c r="M285" s="8"/>
      <c r="N285" s="8"/>
      <c r="O285" s="8"/>
      <c r="P285" s="8"/>
      <c r="Q285" s="8"/>
      <c r="R285" s="8"/>
      <c r="S285" s="8"/>
      <c r="T285" s="8"/>
      <c r="U285" s="8"/>
      <c r="V285" s="8"/>
      <c r="W285" s="8"/>
    </row>
    <row r="286" spans="1:23" x14ac:dyDescent="0.25">
      <c r="A286" s="8"/>
      <c r="B286" s="8"/>
      <c r="C286" s="8"/>
      <c r="D286" s="8"/>
      <c r="E286" s="8"/>
      <c r="F286" s="8"/>
      <c r="G286" s="8"/>
      <c r="H286" s="8"/>
      <c r="I286" s="8"/>
      <c r="J286" s="8"/>
      <c r="K286" s="8"/>
      <c r="L286" s="8"/>
      <c r="M286" s="8"/>
      <c r="N286" s="8"/>
      <c r="O286" s="8"/>
      <c r="P286" s="8"/>
      <c r="Q286" s="8"/>
      <c r="R286" s="8"/>
      <c r="S286" s="8"/>
      <c r="T286" s="8"/>
      <c r="U286" s="8"/>
      <c r="V286" s="8"/>
      <c r="W286" s="8"/>
    </row>
    <row r="287" spans="1:23" x14ac:dyDescent="0.25">
      <c r="A287" s="8"/>
      <c r="B287" s="8"/>
      <c r="C287" s="8"/>
      <c r="D287" s="8"/>
      <c r="E287" s="8"/>
      <c r="F287" s="8"/>
      <c r="G287" s="8"/>
      <c r="H287" s="8"/>
      <c r="I287" s="8"/>
      <c r="J287" s="8"/>
      <c r="K287" s="8"/>
      <c r="L287" s="8"/>
      <c r="M287" s="8"/>
      <c r="N287" s="8"/>
      <c r="O287" s="8"/>
      <c r="P287" s="8"/>
      <c r="Q287" s="8"/>
      <c r="R287" s="8"/>
      <c r="S287" s="8"/>
      <c r="T287" s="8"/>
      <c r="U287" s="8"/>
      <c r="V287" s="8"/>
      <c r="W287" s="8"/>
    </row>
    <row r="288" spans="1:23" x14ac:dyDescent="0.25">
      <c r="A288" s="8"/>
      <c r="B288" s="8"/>
      <c r="C288" s="8"/>
      <c r="D288" s="8"/>
      <c r="E288" s="8"/>
      <c r="F288" s="8"/>
      <c r="G288" s="8"/>
      <c r="H288" s="8"/>
      <c r="I288" s="8"/>
      <c r="J288" s="8"/>
      <c r="K288" s="8"/>
      <c r="L288" s="8"/>
      <c r="M288" s="8"/>
      <c r="N288" s="8"/>
      <c r="O288" s="8"/>
      <c r="P288" s="8"/>
      <c r="Q288" s="8"/>
      <c r="R288" s="8"/>
      <c r="S288" s="8"/>
      <c r="T288" s="8"/>
      <c r="U288" s="8"/>
      <c r="V288" s="8"/>
      <c r="W288" s="8"/>
    </row>
    <row r="289" spans="1:23" x14ac:dyDescent="0.25">
      <c r="A289" s="8"/>
      <c r="B289" s="8"/>
      <c r="C289" s="8"/>
      <c r="D289" s="8"/>
      <c r="E289" s="8"/>
      <c r="F289" s="8"/>
      <c r="G289" s="8"/>
      <c r="H289" s="8"/>
      <c r="I289" s="8"/>
      <c r="J289" s="8"/>
      <c r="K289" s="8"/>
      <c r="L289" s="8"/>
      <c r="M289" s="8"/>
      <c r="N289" s="8"/>
      <c r="O289" s="8"/>
      <c r="P289" s="8"/>
      <c r="Q289" s="8"/>
      <c r="R289" s="8"/>
      <c r="S289" s="8"/>
      <c r="T289" s="8"/>
      <c r="U289" s="8"/>
      <c r="V289" s="8"/>
      <c r="W289" s="8"/>
    </row>
    <row r="290" spans="1:23" x14ac:dyDescent="0.25">
      <c r="A290" s="8"/>
      <c r="B290" s="8"/>
      <c r="C290" s="8"/>
      <c r="D290" s="8"/>
      <c r="E290" s="8"/>
      <c r="F290" s="8"/>
      <c r="G290" s="8"/>
      <c r="H290" s="8"/>
      <c r="I290" s="8"/>
      <c r="J290" s="8"/>
      <c r="K290" s="8"/>
      <c r="L290" s="8"/>
      <c r="M290" s="8"/>
      <c r="N290" s="8"/>
      <c r="O290" s="8"/>
      <c r="P290" s="8"/>
      <c r="Q290" s="8"/>
      <c r="R290" s="8"/>
      <c r="S290" s="8"/>
      <c r="T290" s="8"/>
      <c r="U290" s="8"/>
      <c r="V290" s="8"/>
      <c r="W290" s="8"/>
    </row>
    <row r="291" spans="1:23" x14ac:dyDescent="0.25">
      <c r="A291" s="8"/>
      <c r="B291" s="8"/>
      <c r="C291" s="8"/>
      <c r="D291" s="8"/>
      <c r="E291" s="8"/>
      <c r="F291" s="8"/>
      <c r="G291" s="8"/>
      <c r="H291" s="8"/>
      <c r="I291" s="8"/>
      <c r="J291" s="8"/>
      <c r="K291" s="8"/>
      <c r="L291" s="8"/>
      <c r="M291" s="8"/>
      <c r="N291" s="8"/>
      <c r="O291" s="8"/>
      <c r="P291" s="8"/>
      <c r="Q291" s="8"/>
      <c r="R291" s="8"/>
      <c r="S291" s="8"/>
      <c r="T291" s="8"/>
      <c r="U291" s="8"/>
      <c r="V291" s="8"/>
      <c r="W291" s="8"/>
    </row>
    <row r="292" spans="1:23" x14ac:dyDescent="0.25">
      <c r="A292" s="8"/>
      <c r="B292" s="8"/>
      <c r="C292" s="8"/>
      <c r="D292" s="8"/>
      <c r="E292" s="8"/>
      <c r="F292" s="8"/>
      <c r="G292" s="8"/>
      <c r="H292" s="8"/>
      <c r="I292" s="8"/>
      <c r="J292" s="8"/>
      <c r="K292" s="8"/>
      <c r="L292" s="8"/>
      <c r="M292" s="8"/>
      <c r="N292" s="8"/>
      <c r="O292" s="8"/>
      <c r="P292" s="8"/>
      <c r="Q292" s="8"/>
      <c r="R292" s="8"/>
      <c r="S292" s="8"/>
      <c r="T292" s="8"/>
      <c r="U292" s="8"/>
      <c r="V292" s="8"/>
      <c r="W292" s="8"/>
    </row>
    <row r="293" spans="1:23" x14ac:dyDescent="0.25">
      <c r="A293" s="8"/>
      <c r="B293" s="8"/>
      <c r="C293" s="8"/>
      <c r="D293" s="8"/>
      <c r="E293" s="8"/>
      <c r="F293" s="8"/>
      <c r="G293" s="8"/>
      <c r="H293" s="8"/>
      <c r="I293" s="8"/>
      <c r="J293" s="8"/>
      <c r="K293" s="8"/>
      <c r="L293" s="8"/>
      <c r="M293" s="8"/>
      <c r="N293" s="8"/>
      <c r="O293" s="8"/>
      <c r="P293" s="8"/>
      <c r="Q293" s="8"/>
      <c r="R293" s="8"/>
      <c r="S293" s="8"/>
      <c r="T293" s="8"/>
      <c r="U293" s="8"/>
      <c r="V293" s="8"/>
      <c r="W293" s="8"/>
    </row>
    <row r="294" spans="1:23" x14ac:dyDescent="0.25">
      <c r="A294" s="8"/>
      <c r="B294" s="8"/>
      <c r="C294" s="8"/>
      <c r="D294" s="8"/>
      <c r="E294" s="8"/>
      <c r="F294" s="8"/>
      <c r="G294" s="8"/>
      <c r="H294" s="8"/>
      <c r="I294" s="8"/>
      <c r="J294" s="8"/>
      <c r="K294" s="8"/>
      <c r="L294" s="8"/>
      <c r="M294" s="8"/>
      <c r="N294" s="8"/>
      <c r="O294" s="8"/>
      <c r="P294" s="8"/>
      <c r="Q294" s="8"/>
      <c r="R294" s="8"/>
      <c r="S294" s="8"/>
      <c r="T294" s="8"/>
      <c r="U294" s="8"/>
      <c r="V294" s="8"/>
      <c r="W294" s="8"/>
    </row>
    <row r="295" spans="1:23" x14ac:dyDescent="0.25">
      <c r="A295" s="8"/>
      <c r="B295" s="8"/>
      <c r="C295" s="8"/>
      <c r="D295" s="8"/>
      <c r="E295" s="8"/>
      <c r="F295" s="8"/>
      <c r="G295" s="8"/>
      <c r="H295" s="8"/>
      <c r="I295" s="8"/>
      <c r="J295" s="8"/>
      <c r="K295" s="8"/>
      <c r="L295" s="8"/>
      <c r="M295" s="8"/>
      <c r="N295" s="8"/>
      <c r="O295" s="8"/>
      <c r="P295" s="8"/>
      <c r="Q295" s="8"/>
      <c r="R295" s="8"/>
      <c r="S295" s="8"/>
      <c r="T295" s="8"/>
      <c r="U295" s="8"/>
      <c r="V295" s="8"/>
      <c r="W295" s="8"/>
    </row>
    <row r="296" spans="1:23" x14ac:dyDescent="0.25">
      <c r="A296" s="8"/>
      <c r="B296" s="8"/>
      <c r="C296" s="8"/>
      <c r="D296" s="8"/>
      <c r="E296" s="8"/>
      <c r="F296" s="8"/>
      <c r="G296" s="8"/>
      <c r="H296" s="8"/>
      <c r="I296" s="8"/>
      <c r="J296" s="8"/>
      <c r="K296" s="8"/>
      <c r="L296" s="8"/>
      <c r="M296" s="8"/>
      <c r="N296" s="8"/>
      <c r="O296" s="8"/>
      <c r="P296" s="8"/>
      <c r="Q296" s="8"/>
      <c r="R296" s="8"/>
      <c r="S296" s="8"/>
      <c r="T296" s="8"/>
      <c r="U296" s="8"/>
      <c r="V296" s="8"/>
      <c r="W296" s="8"/>
    </row>
    <row r="297" spans="1:23" x14ac:dyDescent="0.25">
      <c r="A297" s="8"/>
      <c r="B297" s="8"/>
      <c r="C297" s="8"/>
      <c r="D297" s="8"/>
      <c r="E297" s="8"/>
      <c r="F297" s="8"/>
      <c r="G297" s="8"/>
      <c r="H297" s="8"/>
      <c r="I297" s="8"/>
      <c r="J297" s="8"/>
      <c r="K297" s="8"/>
      <c r="L297" s="8"/>
      <c r="M297" s="8"/>
      <c r="N297" s="8"/>
      <c r="O297" s="8"/>
      <c r="P297" s="8"/>
      <c r="Q297" s="8"/>
      <c r="R297" s="8"/>
      <c r="S297" s="8"/>
      <c r="T297" s="8"/>
      <c r="U297" s="8"/>
      <c r="V297" s="8"/>
      <c r="W297" s="8"/>
    </row>
    <row r="298" spans="1:23" x14ac:dyDescent="0.25">
      <c r="A298" s="8"/>
      <c r="B298" s="8"/>
      <c r="C298" s="8"/>
      <c r="D298" s="8"/>
      <c r="E298" s="8"/>
      <c r="F298" s="8"/>
      <c r="G298" s="8"/>
      <c r="H298" s="8"/>
      <c r="I298" s="8"/>
      <c r="J298" s="8"/>
      <c r="K298" s="8"/>
      <c r="L298" s="8"/>
      <c r="M298" s="8"/>
      <c r="N298" s="8"/>
      <c r="O298" s="8"/>
      <c r="P298" s="8"/>
      <c r="Q298" s="8"/>
      <c r="R298" s="8"/>
      <c r="S298" s="8"/>
      <c r="T298" s="8"/>
      <c r="U298" s="8"/>
      <c r="V298" s="8"/>
      <c r="W298" s="8"/>
    </row>
    <row r="299" spans="1:23" x14ac:dyDescent="0.25">
      <c r="A299" s="8"/>
      <c r="B299" s="8"/>
      <c r="C299" s="8"/>
      <c r="D299" s="8"/>
      <c r="E299" s="8"/>
      <c r="F299" s="8"/>
      <c r="G299" s="8"/>
      <c r="H299" s="8"/>
      <c r="I299" s="8"/>
      <c r="J299" s="8"/>
      <c r="K299" s="8"/>
      <c r="L299" s="8"/>
      <c r="M299" s="8"/>
      <c r="N299" s="8"/>
      <c r="O299" s="8"/>
      <c r="P299" s="8"/>
      <c r="Q299" s="8"/>
      <c r="R299" s="8"/>
      <c r="S299" s="8"/>
      <c r="T299" s="8"/>
      <c r="U299" s="8"/>
      <c r="V299" s="8"/>
      <c r="W299" s="8"/>
    </row>
    <row r="300" spans="1:23" x14ac:dyDescent="0.25">
      <c r="A300" s="8"/>
      <c r="B300" s="8"/>
      <c r="C300" s="8"/>
      <c r="D300" s="8"/>
      <c r="E300" s="8"/>
      <c r="F300" s="8"/>
      <c r="G300" s="8"/>
      <c r="H300" s="8"/>
      <c r="I300" s="8"/>
      <c r="J300" s="8"/>
      <c r="K300" s="8"/>
      <c r="L300" s="8"/>
      <c r="M300" s="8"/>
      <c r="N300" s="8"/>
      <c r="O300" s="8"/>
      <c r="P300" s="8"/>
      <c r="Q300" s="8"/>
      <c r="R300" s="8"/>
      <c r="S300" s="8"/>
      <c r="T300" s="8"/>
      <c r="U300" s="8"/>
      <c r="V300" s="8"/>
      <c r="W300" s="8"/>
    </row>
    <row r="301" spans="1:23" x14ac:dyDescent="0.25">
      <c r="A301" s="8"/>
      <c r="B301" s="8"/>
      <c r="C301" s="8"/>
      <c r="D301" s="8"/>
      <c r="E301" s="8"/>
      <c r="F301" s="8"/>
      <c r="G301" s="8"/>
      <c r="H301" s="8"/>
      <c r="I301" s="8"/>
      <c r="J301" s="8"/>
      <c r="K301" s="8"/>
      <c r="L301" s="8"/>
      <c r="M301" s="8"/>
      <c r="N301" s="8"/>
      <c r="O301" s="8"/>
      <c r="P301" s="8"/>
      <c r="Q301" s="8"/>
      <c r="R301" s="8"/>
      <c r="S301" s="8"/>
      <c r="T301" s="8"/>
      <c r="U301" s="8"/>
      <c r="V301" s="8"/>
      <c r="W301" s="8"/>
    </row>
    <row r="302" spans="1:23" x14ac:dyDescent="0.25">
      <c r="A302" s="8"/>
      <c r="B302" s="8"/>
      <c r="C302" s="8"/>
      <c r="D302" s="8"/>
      <c r="E302" s="8"/>
      <c r="F302" s="8"/>
      <c r="G302" s="8"/>
      <c r="H302" s="8"/>
      <c r="I302" s="8"/>
      <c r="J302" s="8"/>
      <c r="K302" s="8"/>
      <c r="L302" s="8"/>
      <c r="M302" s="8"/>
      <c r="N302" s="8"/>
      <c r="O302" s="8"/>
      <c r="P302" s="8"/>
      <c r="Q302" s="8"/>
      <c r="R302" s="8"/>
      <c r="S302" s="8"/>
      <c r="T302" s="8"/>
      <c r="U302" s="8"/>
      <c r="V302" s="8"/>
      <c r="W302" s="8"/>
    </row>
    <row r="303" spans="1:23" x14ac:dyDescent="0.25">
      <c r="A303" s="8"/>
      <c r="B303" s="8"/>
      <c r="C303" s="8"/>
      <c r="D303" s="8"/>
      <c r="E303" s="8"/>
      <c r="F303" s="8"/>
      <c r="G303" s="8"/>
      <c r="H303" s="8"/>
      <c r="I303" s="8"/>
      <c r="J303" s="8"/>
      <c r="K303" s="8"/>
      <c r="L303" s="8"/>
      <c r="M303" s="8"/>
      <c r="N303" s="8"/>
      <c r="O303" s="8"/>
      <c r="P303" s="8"/>
      <c r="Q303" s="8"/>
      <c r="R303" s="8"/>
      <c r="S303" s="8"/>
      <c r="T303" s="8"/>
      <c r="U303" s="8"/>
      <c r="V303" s="8"/>
      <c r="W303" s="8"/>
    </row>
    <row r="304" spans="1:23" x14ac:dyDescent="0.25">
      <c r="A304" s="8"/>
      <c r="B304" s="8"/>
      <c r="C304" s="8"/>
      <c r="D304" s="8"/>
      <c r="E304" s="8"/>
      <c r="F304" s="8"/>
      <c r="G304" s="8"/>
      <c r="H304" s="8"/>
      <c r="I304" s="8"/>
      <c r="J304" s="8"/>
      <c r="K304" s="8"/>
      <c r="L304" s="8"/>
      <c r="M304" s="8"/>
      <c r="N304" s="8"/>
      <c r="O304" s="8"/>
      <c r="P304" s="8"/>
      <c r="Q304" s="8"/>
      <c r="R304" s="8"/>
      <c r="S304" s="8"/>
      <c r="T304" s="8"/>
      <c r="U304" s="8"/>
      <c r="V304" s="8"/>
      <c r="W304" s="8"/>
    </row>
    <row r="305" spans="1:23" x14ac:dyDescent="0.25">
      <c r="A305" s="8"/>
      <c r="B305" s="8"/>
      <c r="C305" s="8"/>
      <c r="D305" s="8"/>
      <c r="E305" s="8"/>
      <c r="F305" s="8"/>
      <c r="G305" s="8"/>
      <c r="H305" s="8"/>
      <c r="I305" s="8"/>
      <c r="J305" s="8"/>
      <c r="K305" s="8"/>
      <c r="L305" s="8"/>
      <c r="M305" s="8"/>
      <c r="N305" s="8"/>
      <c r="O305" s="8"/>
      <c r="P305" s="8"/>
      <c r="Q305" s="8"/>
      <c r="R305" s="8"/>
      <c r="S305" s="8"/>
      <c r="T305" s="8"/>
      <c r="U305" s="8"/>
      <c r="V305" s="8"/>
      <c r="W305" s="8"/>
    </row>
    <row r="306" spans="1:23" x14ac:dyDescent="0.25">
      <c r="A306" s="8"/>
      <c r="B306" s="8"/>
      <c r="C306" s="8"/>
      <c r="D306" s="8"/>
      <c r="E306" s="8"/>
      <c r="F306" s="8"/>
      <c r="G306" s="8"/>
      <c r="H306" s="8"/>
      <c r="I306" s="8"/>
      <c r="J306" s="8"/>
      <c r="K306" s="8"/>
      <c r="L306" s="8"/>
      <c r="M306" s="8"/>
      <c r="N306" s="8"/>
      <c r="O306" s="8"/>
      <c r="P306" s="8"/>
      <c r="Q306" s="8"/>
      <c r="R306" s="8"/>
      <c r="S306" s="8"/>
      <c r="T306" s="8"/>
      <c r="U306" s="8"/>
      <c r="V306" s="8"/>
      <c r="W306" s="8"/>
    </row>
    <row r="307" spans="1:23" x14ac:dyDescent="0.25">
      <c r="A307" s="8"/>
      <c r="B307" s="8"/>
      <c r="C307" s="8"/>
      <c r="D307" s="8"/>
      <c r="E307" s="8"/>
      <c r="F307" s="8"/>
      <c r="G307" s="8"/>
      <c r="H307" s="8"/>
      <c r="I307" s="8"/>
      <c r="J307" s="8"/>
      <c r="K307" s="8"/>
      <c r="L307" s="8"/>
      <c r="M307" s="8"/>
      <c r="N307" s="8"/>
      <c r="O307" s="8"/>
      <c r="P307" s="8"/>
      <c r="Q307" s="8"/>
      <c r="R307" s="8"/>
      <c r="S307" s="8"/>
      <c r="T307" s="8"/>
      <c r="U307" s="8"/>
      <c r="V307" s="8"/>
      <c r="W307" s="8"/>
    </row>
    <row r="308" spans="1:23" x14ac:dyDescent="0.25">
      <c r="A308" s="8"/>
      <c r="B308" s="8"/>
      <c r="C308" s="8"/>
      <c r="D308" s="8"/>
      <c r="E308" s="8"/>
      <c r="F308" s="8"/>
      <c r="G308" s="8"/>
      <c r="H308" s="8"/>
      <c r="I308" s="8"/>
      <c r="J308" s="8"/>
      <c r="K308" s="8"/>
      <c r="L308" s="8"/>
      <c r="M308" s="8"/>
      <c r="N308" s="8"/>
      <c r="O308" s="8"/>
      <c r="P308" s="8"/>
      <c r="Q308" s="8"/>
      <c r="R308" s="8"/>
      <c r="S308" s="8"/>
      <c r="T308" s="8"/>
      <c r="U308" s="8"/>
      <c r="V308" s="8"/>
      <c r="W308" s="8"/>
    </row>
    <row r="309" spans="1:23" x14ac:dyDescent="0.25">
      <c r="A309" s="8"/>
      <c r="B309" s="8"/>
      <c r="C309" s="8"/>
      <c r="D309" s="8"/>
      <c r="E309" s="8"/>
      <c r="F309" s="8"/>
      <c r="G309" s="8"/>
      <c r="H309" s="8"/>
      <c r="I309" s="8"/>
      <c r="J309" s="8"/>
      <c r="K309" s="8"/>
      <c r="L309" s="8"/>
      <c r="M309" s="8"/>
      <c r="N309" s="8"/>
      <c r="O309" s="8"/>
      <c r="P309" s="8"/>
      <c r="Q309" s="8"/>
      <c r="R309" s="8"/>
      <c r="S309" s="8"/>
      <c r="T309" s="8"/>
      <c r="U309" s="8"/>
      <c r="V309" s="8"/>
      <c r="W309" s="8"/>
    </row>
    <row r="310" spans="1:23" x14ac:dyDescent="0.25">
      <c r="A310" s="8"/>
      <c r="B310" s="8"/>
      <c r="C310" s="8"/>
      <c r="D310" s="8"/>
      <c r="E310" s="8"/>
      <c r="F310" s="8"/>
      <c r="G310" s="8"/>
      <c r="H310" s="8"/>
      <c r="I310" s="8"/>
      <c r="J310" s="8"/>
      <c r="K310" s="8"/>
      <c r="L310" s="8"/>
      <c r="M310" s="8"/>
      <c r="N310" s="8"/>
      <c r="O310" s="8"/>
      <c r="P310" s="8"/>
      <c r="Q310" s="8"/>
      <c r="R310" s="8"/>
      <c r="S310" s="8"/>
      <c r="T310" s="8"/>
      <c r="U310" s="8"/>
      <c r="V310" s="8"/>
      <c r="W310" s="8"/>
    </row>
    <row r="311" spans="1:23" x14ac:dyDescent="0.25">
      <c r="A311" s="8"/>
      <c r="B311" s="8"/>
      <c r="C311" s="8"/>
      <c r="D311" s="8"/>
      <c r="E311" s="8"/>
      <c r="F311" s="8"/>
      <c r="G311" s="8"/>
      <c r="H311" s="8"/>
      <c r="I311" s="8"/>
      <c r="J311" s="8"/>
      <c r="K311" s="8"/>
      <c r="L311" s="8"/>
      <c r="M311" s="8"/>
      <c r="N311" s="8"/>
      <c r="O311" s="8"/>
      <c r="P311" s="8"/>
      <c r="Q311" s="8"/>
      <c r="R311" s="8"/>
      <c r="S311" s="8"/>
      <c r="T311" s="8"/>
      <c r="U311" s="8"/>
      <c r="V311" s="8"/>
      <c r="W311" s="8"/>
    </row>
    <row r="312" spans="1:23" x14ac:dyDescent="0.25">
      <c r="A312" s="8"/>
      <c r="B312" s="8"/>
      <c r="C312" s="8"/>
      <c r="D312" s="8"/>
      <c r="E312" s="8"/>
      <c r="F312" s="8"/>
      <c r="G312" s="8"/>
      <c r="H312" s="8"/>
      <c r="I312" s="8"/>
      <c r="J312" s="8"/>
      <c r="K312" s="8"/>
      <c r="L312" s="8"/>
      <c r="M312" s="8"/>
      <c r="N312" s="8"/>
      <c r="O312" s="8"/>
      <c r="P312" s="8"/>
      <c r="Q312" s="8"/>
      <c r="R312" s="8"/>
      <c r="S312" s="8"/>
      <c r="T312" s="8"/>
      <c r="U312" s="8"/>
      <c r="V312" s="8"/>
      <c r="W312" s="8"/>
    </row>
    <row r="313" spans="1:23" x14ac:dyDescent="0.25">
      <c r="A313" s="8"/>
      <c r="B313" s="8"/>
      <c r="C313" s="8"/>
      <c r="D313" s="8"/>
      <c r="E313" s="8"/>
      <c r="F313" s="8"/>
      <c r="G313" s="8"/>
      <c r="H313" s="8"/>
      <c r="I313" s="8"/>
      <c r="J313" s="8"/>
      <c r="K313" s="8"/>
      <c r="L313" s="8"/>
      <c r="M313" s="8"/>
      <c r="N313" s="8"/>
      <c r="O313" s="8"/>
      <c r="P313" s="8"/>
      <c r="Q313" s="8"/>
      <c r="R313" s="8"/>
      <c r="S313" s="8"/>
      <c r="T313" s="8"/>
      <c r="U313" s="8"/>
      <c r="V313" s="8"/>
      <c r="W313" s="8"/>
    </row>
    <row r="314" spans="1:23" x14ac:dyDescent="0.25">
      <c r="A314" s="8"/>
      <c r="B314" s="8"/>
      <c r="C314" s="8"/>
      <c r="D314" s="8"/>
      <c r="E314" s="8"/>
      <c r="F314" s="8"/>
      <c r="G314" s="8"/>
      <c r="H314" s="8"/>
      <c r="I314" s="8"/>
      <c r="J314" s="8"/>
      <c r="K314" s="8"/>
      <c r="L314" s="8"/>
      <c r="M314" s="8"/>
      <c r="N314" s="8"/>
      <c r="O314" s="8"/>
      <c r="P314" s="8"/>
      <c r="Q314" s="8"/>
      <c r="R314" s="8"/>
      <c r="S314" s="8"/>
      <c r="T314" s="8"/>
      <c r="U314" s="8"/>
      <c r="V314" s="8"/>
      <c r="W314" s="8"/>
    </row>
    <row r="315" spans="1:23" x14ac:dyDescent="0.25">
      <c r="A315" s="8"/>
      <c r="B315" s="8"/>
      <c r="C315" s="8"/>
      <c r="D315" s="8"/>
      <c r="E315" s="8"/>
      <c r="F315" s="8"/>
      <c r="G315" s="8"/>
      <c r="H315" s="8"/>
      <c r="I315" s="8"/>
      <c r="J315" s="8"/>
      <c r="K315" s="8"/>
      <c r="L315" s="8"/>
      <c r="M315" s="8"/>
      <c r="N315" s="8"/>
      <c r="O315" s="8"/>
      <c r="P315" s="8"/>
      <c r="Q315" s="8"/>
      <c r="R315" s="8"/>
      <c r="S315" s="8"/>
      <c r="T315" s="8"/>
      <c r="U315" s="8"/>
      <c r="V315" s="8"/>
      <c r="W315" s="8"/>
    </row>
    <row r="316" spans="1:23" x14ac:dyDescent="0.25">
      <c r="A316" s="8"/>
      <c r="B316" s="8"/>
      <c r="C316" s="8"/>
      <c r="D316" s="8"/>
      <c r="E316" s="8"/>
      <c r="F316" s="8"/>
      <c r="G316" s="8"/>
      <c r="H316" s="8"/>
      <c r="I316" s="8"/>
      <c r="J316" s="8"/>
      <c r="K316" s="8"/>
      <c r="L316" s="8"/>
      <c r="M316" s="8"/>
      <c r="N316" s="8"/>
      <c r="O316" s="8"/>
      <c r="P316" s="8"/>
      <c r="Q316" s="8"/>
      <c r="R316" s="8"/>
      <c r="S316" s="8"/>
      <c r="T316" s="8"/>
      <c r="U316" s="8"/>
      <c r="V316" s="8"/>
      <c r="W316" s="8"/>
    </row>
    <row r="317" spans="1:23" x14ac:dyDescent="0.25">
      <c r="A317" s="8"/>
      <c r="B317" s="8"/>
      <c r="C317" s="8"/>
      <c r="D317" s="8"/>
      <c r="E317" s="8"/>
      <c r="F317" s="8"/>
      <c r="G317" s="8"/>
      <c r="H317" s="8"/>
      <c r="I317" s="8"/>
      <c r="J317" s="8"/>
      <c r="K317" s="8"/>
      <c r="L317" s="8"/>
      <c r="M317" s="8"/>
      <c r="N317" s="8"/>
      <c r="O317" s="8"/>
      <c r="P317" s="8"/>
      <c r="Q317" s="8"/>
      <c r="R317" s="8"/>
      <c r="S317" s="8"/>
      <c r="T317" s="8"/>
      <c r="U317" s="8"/>
      <c r="V317" s="8"/>
      <c r="W317" s="8"/>
    </row>
    <row r="318" spans="1:23" x14ac:dyDescent="0.25">
      <c r="A318" s="8"/>
      <c r="B318" s="8"/>
      <c r="C318" s="8"/>
      <c r="D318" s="8"/>
      <c r="E318" s="8"/>
      <c r="F318" s="8"/>
      <c r="G318" s="8"/>
      <c r="H318" s="8"/>
      <c r="I318" s="8"/>
      <c r="J318" s="8"/>
      <c r="K318" s="8"/>
      <c r="L318" s="8"/>
      <c r="M318" s="8"/>
      <c r="N318" s="8"/>
      <c r="O318" s="8"/>
      <c r="P318" s="8"/>
      <c r="Q318" s="8"/>
      <c r="R318" s="8"/>
      <c r="S318" s="8"/>
      <c r="T318" s="8"/>
      <c r="U318" s="8"/>
      <c r="V318" s="8"/>
      <c r="W318" s="8"/>
    </row>
    <row r="319" spans="1:23" x14ac:dyDescent="0.25">
      <c r="A319" s="8"/>
      <c r="B319" s="8"/>
      <c r="C319" s="8"/>
      <c r="D319" s="8"/>
      <c r="E319" s="8"/>
      <c r="F319" s="8"/>
      <c r="G319" s="8"/>
      <c r="H319" s="8"/>
      <c r="I319" s="8"/>
      <c r="J319" s="8"/>
      <c r="K319" s="8"/>
      <c r="L319" s="8"/>
      <c r="M319" s="8"/>
      <c r="N319" s="8"/>
      <c r="O319" s="8"/>
      <c r="P319" s="8"/>
      <c r="Q319" s="8"/>
      <c r="R319" s="8"/>
      <c r="S319" s="8"/>
      <c r="T319" s="8"/>
      <c r="U319" s="8"/>
      <c r="V319" s="8"/>
      <c r="W319" s="8"/>
    </row>
    <row r="320" spans="1:23" x14ac:dyDescent="0.25">
      <c r="A320" s="8"/>
      <c r="B320" s="8"/>
      <c r="C320" s="8"/>
      <c r="D320" s="8"/>
      <c r="E320" s="8"/>
      <c r="F320" s="8"/>
      <c r="G320" s="8"/>
      <c r="H320" s="8"/>
      <c r="I320" s="8"/>
      <c r="J320" s="8"/>
      <c r="K320" s="8"/>
      <c r="L320" s="8"/>
      <c r="M320" s="8"/>
      <c r="N320" s="8"/>
      <c r="O320" s="8"/>
      <c r="P320" s="8"/>
      <c r="Q320" s="8"/>
      <c r="R320" s="8"/>
      <c r="S320" s="8"/>
      <c r="T320" s="8"/>
      <c r="U320" s="8"/>
      <c r="V320" s="8"/>
      <c r="W320" s="8"/>
    </row>
    <row r="321" spans="1:23" x14ac:dyDescent="0.25">
      <c r="A321" s="8"/>
      <c r="B321" s="8"/>
      <c r="C321" s="8"/>
      <c r="D321" s="8"/>
      <c r="E321" s="8"/>
      <c r="F321" s="8"/>
      <c r="G321" s="8"/>
      <c r="H321" s="8"/>
      <c r="I321" s="8"/>
      <c r="J321" s="8"/>
      <c r="K321" s="8"/>
      <c r="L321" s="8"/>
      <c r="M321" s="8"/>
      <c r="N321" s="8"/>
      <c r="O321" s="8"/>
      <c r="P321" s="8"/>
      <c r="Q321" s="8"/>
      <c r="R321" s="8"/>
      <c r="S321" s="8"/>
      <c r="T321" s="8"/>
      <c r="U321" s="8"/>
      <c r="V321" s="8"/>
      <c r="W321" s="8"/>
    </row>
    <row r="322" spans="1:23" x14ac:dyDescent="0.25">
      <c r="A322" s="8"/>
      <c r="B322" s="8"/>
      <c r="C322" s="8"/>
      <c r="D322" s="8"/>
      <c r="E322" s="8"/>
      <c r="F322" s="8"/>
      <c r="G322" s="8"/>
      <c r="H322" s="8"/>
      <c r="I322" s="8"/>
      <c r="J322" s="8"/>
      <c r="K322" s="8"/>
      <c r="L322" s="8"/>
      <c r="M322" s="8"/>
      <c r="N322" s="8"/>
      <c r="O322" s="8"/>
      <c r="P322" s="8"/>
      <c r="Q322" s="8"/>
      <c r="R322" s="8"/>
      <c r="S322" s="8"/>
      <c r="T322" s="8"/>
      <c r="U322" s="8"/>
      <c r="V322" s="8"/>
      <c r="W322" s="8"/>
    </row>
    <row r="323" spans="1:23" x14ac:dyDescent="0.25">
      <c r="A323" s="8"/>
      <c r="B323" s="8"/>
      <c r="C323" s="8"/>
      <c r="D323" s="8"/>
      <c r="E323" s="8"/>
      <c r="F323" s="8"/>
      <c r="G323" s="8"/>
      <c r="H323" s="8"/>
      <c r="I323" s="8"/>
      <c r="J323" s="8"/>
      <c r="K323" s="8"/>
      <c r="L323" s="8"/>
      <c r="M323" s="8"/>
      <c r="N323" s="8"/>
      <c r="O323" s="8"/>
      <c r="P323" s="8"/>
      <c r="Q323" s="8"/>
      <c r="R323" s="8"/>
      <c r="S323" s="8"/>
      <c r="T323" s="8"/>
      <c r="U323" s="8"/>
      <c r="V323" s="8"/>
      <c r="W323" s="8"/>
    </row>
    <row r="324" spans="1:23" x14ac:dyDescent="0.25">
      <c r="A324" s="8"/>
      <c r="B324" s="8"/>
      <c r="C324" s="8"/>
      <c r="D324" s="8"/>
      <c r="E324" s="8"/>
      <c r="F324" s="8"/>
      <c r="G324" s="8"/>
      <c r="H324" s="8"/>
      <c r="I324" s="8"/>
      <c r="J324" s="8"/>
      <c r="K324" s="8"/>
      <c r="L324" s="8"/>
      <c r="M324" s="8"/>
      <c r="N324" s="8"/>
      <c r="O324" s="8"/>
      <c r="P324" s="8"/>
      <c r="Q324" s="8"/>
      <c r="R324" s="8"/>
      <c r="S324" s="8"/>
      <c r="T324" s="8"/>
      <c r="U324" s="8"/>
      <c r="V324" s="8"/>
      <c r="W324" s="8"/>
    </row>
    <row r="325" spans="1:23" x14ac:dyDescent="0.25">
      <c r="A325" s="8"/>
      <c r="B325" s="8"/>
      <c r="C325" s="8"/>
      <c r="D325" s="8"/>
      <c r="E325" s="8"/>
      <c r="F325" s="8"/>
      <c r="G325" s="8"/>
      <c r="H325" s="8"/>
      <c r="I325" s="8"/>
      <c r="J325" s="8"/>
      <c r="K325" s="8"/>
      <c r="L325" s="8"/>
      <c r="M325" s="8"/>
      <c r="N325" s="8"/>
      <c r="O325" s="8"/>
      <c r="P325" s="8"/>
      <c r="Q325" s="8"/>
      <c r="R325" s="8"/>
      <c r="S325" s="8"/>
      <c r="T325" s="8"/>
      <c r="U325" s="8"/>
      <c r="V325" s="8"/>
      <c r="W325" s="8"/>
    </row>
    <row r="326" spans="1:23" x14ac:dyDescent="0.25">
      <c r="A326" s="8"/>
      <c r="B326" s="8"/>
      <c r="C326" s="8"/>
      <c r="D326" s="8"/>
      <c r="E326" s="8"/>
      <c r="F326" s="8"/>
      <c r="G326" s="8"/>
      <c r="H326" s="8"/>
      <c r="I326" s="8"/>
      <c r="J326" s="8"/>
      <c r="K326" s="8"/>
      <c r="L326" s="8"/>
      <c r="M326" s="8"/>
      <c r="N326" s="8"/>
      <c r="O326" s="8"/>
      <c r="P326" s="8"/>
      <c r="Q326" s="8"/>
      <c r="R326" s="8"/>
      <c r="S326" s="8"/>
      <c r="T326" s="8"/>
      <c r="U326" s="8"/>
      <c r="V326" s="8"/>
      <c r="W326" s="8"/>
    </row>
    <row r="327" spans="1:23" x14ac:dyDescent="0.25">
      <c r="A327" s="8"/>
      <c r="B327" s="8"/>
      <c r="C327" s="8"/>
      <c r="D327" s="8"/>
      <c r="E327" s="8"/>
      <c r="F327" s="8"/>
      <c r="G327" s="8"/>
      <c r="H327" s="8"/>
      <c r="I327" s="8"/>
      <c r="J327" s="8"/>
      <c r="K327" s="8"/>
      <c r="L327" s="8"/>
      <c r="M327" s="8"/>
      <c r="N327" s="8"/>
      <c r="O327" s="8"/>
      <c r="P327" s="8"/>
      <c r="Q327" s="8"/>
      <c r="R327" s="8"/>
      <c r="S327" s="8"/>
      <c r="T327" s="8"/>
      <c r="U327" s="8"/>
      <c r="V327" s="8"/>
      <c r="W327" s="8"/>
    </row>
    <row r="328" spans="1:23" x14ac:dyDescent="0.25">
      <c r="A328" s="8"/>
      <c r="B328" s="8"/>
      <c r="C328" s="8"/>
      <c r="D328" s="8"/>
      <c r="E328" s="8"/>
      <c r="F328" s="8"/>
      <c r="G328" s="8"/>
      <c r="H328" s="8"/>
      <c r="I328" s="8"/>
      <c r="J328" s="8"/>
      <c r="K328" s="8"/>
      <c r="L328" s="8"/>
      <c r="M328" s="8"/>
      <c r="N328" s="8"/>
      <c r="O328" s="8"/>
      <c r="P328" s="8"/>
      <c r="Q328" s="8"/>
      <c r="R328" s="8"/>
      <c r="S328" s="8"/>
      <c r="T328" s="8"/>
      <c r="U328" s="8"/>
      <c r="V328" s="8"/>
      <c r="W328" s="8"/>
    </row>
    <row r="329" spans="1:23" x14ac:dyDescent="0.25">
      <c r="A329" s="8"/>
      <c r="B329" s="8"/>
      <c r="C329" s="8"/>
      <c r="D329" s="8"/>
      <c r="E329" s="8"/>
      <c r="F329" s="8"/>
      <c r="G329" s="8"/>
      <c r="H329" s="8"/>
      <c r="I329" s="8"/>
      <c r="J329" s="8"/>
      <c r="K329" s="8"/>
      <c r="L329" s="8"/>
      <c r="M329" s="8"/>
      <c r="N329" s="8"/>
      <c r="O329" s="8"/>
      <c r="P329" s="8"/>
      <c r="Q329" s="8"/>
      <c r="R329" s="8"/>
      <c r="S329" s="8"/>
      <c r="T329" s="8"/>
      <c r="U329" s="8"/>
      <c r="V329" s="8"/>
      <c r="W329" s="8"/>
    </row>
    <row r="330" spans="1:23" x14ac:dyDescent="0.25">
      <c r="A330" s="8"/>
      <c r="B330" s="8"/>
      <c r="C330" s="8"/>
      <c r="D330" s="8"/>
      <c r="E330" s="8"/>
      <c r="F330" s="8"/>
      <c r="G330" s="8"/>
      <c r="H330" s="8"/>
      <c r="I330" s="8"/>
      <c r="J330" s="8"/>
      <c r="K330" s="8"/>
      <c r="L330" s="8"/>
      <c r="M330" s="8"/>
      <c r="N330" s="8"/>
      <c r="O330" s="8"/>
      <c r="P330" s="8"/>
      <c r="Q330" s="8"/>
      <c r="R330" s="8"/>
      <c r="S330" s="8"/>
      <c r="T330" s="8"/>
      <c r="U330" s="8"/>
      <c r="V330" s="8"/>
      <c r="W330" s="8"/>
    </row>
    <row r="331" spans="1:23" x14ac:dyDescent="0.25">
      <c r="A331" s="8"/>
      <c r="B331" s="8"/>
      <c r="C331" s="8"/>
      <c r="D331" s="8"/>
      <c r="E331" s="8"/>
      <c r="F331" s="8"/>
      <c r="G331" s="8"/>
      <c r="H331" s="8"/>
      <c r="I331" s="8"/>
      <c r="J331" s="8"/>
      <c r="K331" s="8"/>
      <c r="L331" s="8"/>
      <c r="M331" s="8"/>
      <c r="N331" s="8"/>
      <c r="O331" s="8"/>
      <c r="P331" s="8"/>
      <c r="Q331" s="8"/>
      <c r="R331" s="8"/>
      <c r="S331" s="8"/>
      <c r="T331" s="8"/>
      <c r="U331" s="8"/>
      <c r="V331" s="8"/>
      <c r="W331" s="8"/>
    </row>
    <row r="332" spans="1:23" x14ac:dyDescent="0.25">
      <c r="A332" s="8"/>
      <c r="B332" s="8"/>
      <c r="C332" s="8"/>
      <c r="D332" s="8"/>
      <c r="E332" s="8"/>
      <c r="F332" s="8"/>
      <c r="G332" s="8"/>
      <c r="H332" s="8"/>
      <c r="I332" s="8"/>
      <c r="J332" s="8"/>
      <c r="K332" s="8"/>
      <c r="L332" s="8"/>
      <c r="M332" s="8"/>
      <c r="N332" s="8"/>
      <c r="O332" s="8"/>
      <c r="P332" s="8"/>
      <c r="Q332" s="8"/>
      <c r="R332" s="8"/>
      <c r="S332" s="8"/>
      <c r="T332" s="8"/>
      <c r="U332" s="8"/>
      <c r="V332" s="8"/>
      <c r="W332" s="8"/>
    </row>
    <row r="333" spans="1:23" x14ac:dyDescent="0.25">
      <c r="A333" s="8"/>
      <c r="B333" s="8"/>
      <c r="C333" s="8"/>
      <c r="D333" s="8"/>
      <c r="E333" s="8"/>
      <c r="F333" s="8"/>
      <c r="G333" s="8"/>
      <c r="H333" s="8"/>
      <c r="I333" s="8"/>
      <c r="J333" s="8"/>
      <c r="K333" s="8"/>
      <c r="L333" s="8"/>
      <c r="M333" s="8"/>
      <c r="N333" s="8"/>
      <c r="O333" s="8"/>
      <c r="P333" s="8"/>
      <c r="Q333" s="8"/>
      <c r="R333" s="8"/>
      <c r="S333" s="8"/>
      <c r="T333" s="8"/>
      <c r="U333" s="8"/>
      <c r="V333" s="8"/>
      <c r="W333" s="8"/>
    </row>
    <row r="334" spans="1:23" x14ac:dyDescent="0.25">
      <c r="A334" s="8"/>
      <c r="B334" s="8"/>
      <c r="C334" s="8"/>
      <c r="D334" s="8"/>
      <c r="E334" s="8"/>
      <c r="F334" s="8"/>
      <c r="G334" s="8"/>
      <c r="H334" s="8"/>
      <c r="I334" s="8"/>
      <c r="J334" s="8"/>
      <c r="K334" s="8"/>
      <c r="L334" s="8"/>
      <c r="M334" s="8"/>
      <c r="N334" s="8"/>
      <c r="O334" s="8"/>
      <c r="P334" s="8"/>
      <c r="Q334" s="8"/>
      <c r="R334" s="8"/>
      <c r="S334" s="8"/>
      <c r="T334" s="8"/>
      <c r="U334" s="8"/>
      <c r="V334" s="8"/>
      <c r="W334" s="8"/>
    </row>
    <row r="335" spans="1:23" x14ac:dyDescent="0.25">
      <c r="A335" s="8"/>
      <c r="B335" s="8"/>
      <c r="C335" s="8"/>
      <c r="D335" s="8"/>
      <c r="E335" s="8"/>
      <c r="F335" s="8"/>
      <c r="G335" s="8"/>
      <c r="H335" s="8"/>
      <c r="I335" s="8"/>
      <c r="J335" s="8"/>
      <c r="K335" s="8"/>
      <c r="L335" s="8"/>
      <c r="M335" s="8"/>
      <c r="N335" s="8"/>
      <c r="O335" s="8"/>
      <c r="P335" s="8"/>
      <c r="Q335" s="8"/>
      <c r="R335" s="8"/>
      <c r="S335" s="8"/>
      <c r="T335" s="8"/>
      <c r="U335" s="8"/>
      <c r="V335" s="8"/>
      <c r="W335" s="8"/>
    </row>
    <row r="336" spans="1:23" x14ac:dyDescent="0.25">
      <c r="A336" s="8"/>
      <c r="B336" s="8"/>
      <c r="C336" s="8"/>
      <c r="D336" s="8"/>
      <c r="E336" s="8"/>
      <c r="F336" s="8"/>
      <c r="G336" s="8"/>
      <c r="H336" s="8"/>
      <c r="I336" s="8"/>
      <c r="J336" s="8"/>
      <c r="K336" s="8"/>
      <c r="L336" s="8"/>
      <c r="M336" s="8"/>
      <c r="N336" s="8"/>
      <c r="O336" s="8"/>
      <c r="P336" s="8"/>
      <c r="Q336" s="8"/>
      <c r="R336" s="8"/>
      <c r="S336" s="8"/>
      <c r="T336" s="8"/>
      <c r="U336" s="8"/>
      <c r="V336" s="8"/>
      <c r="W336" s="8"/>
    </row>
    <row r="337" spans="1:23" x14ac:dyDescent="0.25">
      <c r="A337" s="8"/>
      <c r="B337" s="8"/>
      <c r="C337" s="8"/>
      <c r="D337" s="8"/>
      <c r="E337" s="8"/>
      <c r="F337" s="8"/>
      <c r="G337" s="8"/>
      <c r="H337" s="8"/>
      <c r="I337" s="8"/>
      <c r="J337" s="8"/>
      <c r="K337" s="8"/>
      <c r="L337" s="8"/>
      <c r="M337" s="8"/>
      <c r="N337" s="8"/>
      <c r="O337" s="8"/>
      <c r="P337" s="8"/>
      <c r="Q337" s="8"/>
      <c r="R337" s="8"/>
      <c r="S337" s="8"/>
      <c r="T337" s="8"/>
      <c r="U337" s="8"/>
      <c r="V337" s="8"/>
      <c r="W337" s="8"/>
    </row>
    <row r="338" spans="1:23" x14ac:dyDescent="0.25">
      <c r="A338" s="8"/>
      <c r="B338" s="8"/>
      <c r="C338" s="8"/>
      <c r="D338" s="8"/>
      <c r="E338" s="8"/>
      <c r="F338" s="8"/>
      <c r="G338" s="8"/>
      <c r="H338" s="8"/>
      <c r="I338" s="8"/>
      <c r="J338" s="8"/>
      <c r="K338" s="8"/>
      <c r="L338" s="8"/>
      <c r="M338" s="8"/>
      <c r="N338" s="8"/>
      <c r="O338" s="8"/>
      <c r="P338" s="8"/>
      <c r="Q338" s="8"/>
      <c r="R338" s="8"/>
      <c r="S338" s="8"/>
      <c r="T338" s="8"/>
      <c r="U338" s="8"/>
      <c r="V338" s="8"/>
      <c r="W338" s="8"/>
    </row>
    <row r="339" spans="1:23" x14ac:dyDescent="0.25">
      <c r="A339" s="8"/>
      <c r="B339" s="8"/>
      <c r="C339" s="8"/>
      <c r="D339" s="8"/>
      <c r="E339" s="8"/>
      <c r="F339" s="8"/>
      <c r="G339" s="8"/>
      <c r="H339" s="8"/>
      <c r="I339" s="8"/>
      <c r="J339" s="8"/>
      <c r="K339" s="8"/>
      <c r="L339" s="8"/>
      <c r="M339" s="8"/>
      <c r="N339" s="8"/>
      <c r="O339" s="8"/>
      <c r="P339" s="8"/>
      <c r="Q339" s="8"/>
      <c r="R339" s="8"/>
      <c r="S339" s="8"/>
      <c r="T339" s="8"/>
      <c r="U339" s="8"/>
      <c r="V339" s="8"/>
      <c r="W339" s="8"/>
    </row>
    <row r="340" spans="1:23" x14ac:dyDescent="0.25">
      <c r="A340" s="8"/>
      <c r="B340" s="8"/>
      <c r="C340" s="8"/>
      <c r="D340" s="8"/>
      <c r="E340" s="8"/>
      <c r="F340" s="8"/>
      <c r="G340" s="8"/>
      <c r="H340" s="8"/>
      <c r="I340" s="8"/>
      <c r="J340" s="8"/>
      <c r="K340" s="8"/>
      <c r="L340" s="8"/>
      <c r="M340" s="8"/>
      <c r="N340" s="8"/>
      <c r="O340" s="8"/>
      <c r="P340" s="8"/>
      <c r="Q340" s="8"/>
      <c r="R340" s="8"/>
      <c r="S340" s="8"/>
      <c r="T340" s="8"/>
      <c r="U340" s="8"/>
      <c r="V340" s="8"/>
      <c r="W340" s="8"/>
    </row>
    <row r="341" spans="1:23" x14ac:dyDescent="0.25">
      <c r="A341" s="8"/>
      <c r="B341" s="8"/>
      <c r="C341" s="8"/>
      <c r="D341" s="8"/>
      <c r="E341" s="8"/>
      <c r="F341" s="8"/>
      <c r="G341" s="8"/>
      <c r="H341" s="8"/>
      <c r="I341" s="8"/>
      <c r="J341" s="8"/>
      <c r="K341" s="8"/>
      <c r="L341" s="8"/>
      <c r="M341" s="8"/>
      <c r="N341" s="8"/>
      <c r="O341" s="8"/>
      <c r="P341" s="8"/>
      <c r="Q341" s="8"/>
      <c r="R341" s="8"/>
      <c r="S341" s="8"/>
      <c r="T341" s="8"/>
      <c r="U341" s="8"/>
      <c r="V341" s="8"/>
      <c r="W341" s="8"/>
    </row>
    <row r="342" spans="1:23" x14ac:dyDescent="0.25">
      <c r="A342" s="8"/>
      <c r="B342" s="8"/>
      <c r="C342" s="8"/>
      <c r="D342" s="8"/>
      <c r="E342" s="8"/>
      <c r="F342" s="8"/>
      <c r="G342" s="8"/>
      <c r="H342" s="8"/>
      <c r="I342" s="8"/>
      <c r="J342" s="8"/>
      <c r="K342" s="8"/>
      <c r="L342" s="8"/>
      <c r="M342" s="8"/>
      <c r="N342" s="8"/>
      <c r="O342" s="8"/>
      <c r="P342" s="8"/>
      <c r="Q342" s="8"/>
      <c r="R342" s="8"/>
      <c r="S342" s="8"/>
      <c r="T342" s="8"/>
      <c r="U342" s="8"/>
      <c r="V342" s="8"/>
      <c r="W342" s="8"/>
    </row>
    <row r="343" spans="1:23" x14ac:dyDescent="0.25">
      <c r="A343" s="8"/>
      <c r="B343" s="8"/>
      <c r="C343" s="8"/>
      <c r="D343" s="8"/>
      <c r="E343" s="8"/>
      <c r="F343" s="8"/>
      <c r="G343" s="8"/>
      <c r="H343" s="8"/>
      <c r="I343" s="8"/>
      <c r="J343" s="8"/>
      <c r="K343" s="8"/>
      <c r="L343" s="8"/>
      <c r="M343" s="8"/>
      <c r="N343" s="8"/>
      <c r="O343" s="8"/>
      <c r="P343" s="8"/>
      <c r="Q343" s="8"/>
      <c r="R343" s="8"/>
      <c r="S343" s="8"/>
      <c r="T343" s="8"/>
      <c r="U343" s="8"/>
      <c r="V343" s="8"/>
      <c r="W343" s="8"/>
    </row>
    <row r="344" spans="1:23" x14ac:dyDescent="0.25">
      <c r="A344" s="8"/>
      <c r="B344" s="8"/>
      <c r="C344" s="8"/>
      <c r="D344" s="8"/>
      <c r="E344" s="8"/>
      <c r="F344" s="8"/>
      <c r="G344" s="8"/>
      <c r="H344" s="8"/>
      <c r="I344" s="8"/>
      <c r="J344" s="8"/>
      <c r="K344" s="8"/>
      <c r="L344" s="8"/>
      <c r="M344" s="8"/>
      <c r="N344" s="8"/>
      <c r="O344" s="8"/>
      <c r="P344" s="8"/>
      <c r="Q344" s="8"/>
      <c r="R344" s="8"/>
      <c r="S344" s="8"/>
      <c r="T344" s="8"/>
      <c r="U344" s="8"/>
      <c r="V344" s="8"/>
      <c r="W344" s="8"/>
    </row>
    <row r="345" spans="1:23" x14ac:dyDescent="0.25">
      <c r="A345" s="8"/>
      <c r="B345" s="8"/>
      <c r="C345" s="8"/>
      <c r="D345" s="8"/>
      <c r="E345" s="8"/>
      <c r="F345" s="8"/>
      <c r="G345" s="8"/>
      <c r="H345" s="8"/>
      <c r="I345" s="8"/>
      <c r="J345" s="8"/>
      <c r="K345" s="8"/>
      <c r="L345" s="8"/>
      <c r="M345" s="8"/>
      <c r="N345" s="8"/>
      <c r="O345" s="8"/>
      <c r="P345" s="8"/>
      <c r="Q345" s="8"/>
      <c r="R345" s="8"/>
      <c r="S345" s="8"/>
      <c r="T345" s="8"/>
      <c r="U345" s="8"/>
      <c r="V345" s="8"/>
      <c r="W345" s="8"/>
    </row>
    <row r="346" spans="1:23" x14ac:dyDescent="0.25">
      <c r="A346" s="8"/>
      <c r="B346" s="8"/>
      <c r="C346" s="8"/>
      <c r="D346" s="8"/>
      <c r="E346" s="8"/>
      <c r="F346" s="8"/>
      <c r="G346" s="8"/>
      <c r="H346" s="8"/>
      <c r="I346" s="8"/>
      <c r="J346" s="8"/>
      <c r="K346" s="8"/>
      <c r="L346" s="8"/>
      <c r="M346" s="8"/>
      <c r="N346" s="8"/>
      <c r="O346" s="8"/>
      <c r="P346" s="8"/>
      <c r="Q346" s="8"/>
      <c r="R346" s="8"/>
      <c r="S346" s="8"/>
      <c r="T346" s="8"/>
      <c r="U346" s="8"/>
      <c r="V346" s="8"/>
      <c r="W346" s="8"/>
    </row>
    <row r="347" spans="1:23" x14ac:dyDescent="0.25">
      <c r="A347" s="8"/>
      <c r="B347" s="8"/>
      <c r="C347" s="8"/>
      <c r="D347" s="8"/>
      <c r="E347" s="8"/>
      <c r="F347" s="8"/>
      <c r="G347" s="8"/>
      <c r="H347" s="8"/>
      <c r="I347" s="8"/>
      <c r="J347" s="8"/>
      <c r="K347" s="8"/>
      <c r="L347" s="8"/>
      <c r="M347" s="8"/>
      <c r="N347" s="8"/>
      <c r="O347" s="8"/>
      <c r="P347" s="8"/>
      <c r="Q347" s="8"/>
      <c r="R347" s="8"/>
      <c r="S347" s="8"/>
      <c r="T347" s="8"/>
      <c r="U347" s="8"/>
      <c r="V347" s="8"/>
      <c r="W347" s="8"/>
    </row>
    <row r="348" spans="1:23" x14ac:dyDescent="0.25">
      <c r="A348" s="8"/>
      <c r="B348" s="8"/>
      <c r="C348" s="8"/>
      <c r="D348" s="8"/>
      <c r="E348" s="8"/>
      <c r="F348" s="8"/>
      <c r="G348" s="8"/>
      <c r="H348" s="8"/>
      <c r="I348" s="8"/>
      <c r="J348" s="8"/>
      <c r="K348" s="8"/>
      <c r="L348" s="8"/>
      <c r="M348" s="8"/>
      <c r="N348" s="8"/>
      <c r="O348" s="8"/>
      <c r="P348" s="8"/>
      <c r="Q348" s="8"/>
      <c r="R348" s="8"/>
      <c r="S348" s="8"/>
      <c r="T348" s="8"/>
      <c r="U348" s="8"/>
      <c r="V348" s="8"/>
      <c r="W348" s="8"/>
    </row>
    <row r="349" spans="1:23" x14ac:dyDescent="0.25">
      <c r="A349" s="8"/>
      <c r="B349" s="8"/>
      <c r="C349" s="8"/>
      <c r="D349" s="8"/>
      <c r="E349" s="8"/>
      <c r="F349" s="8"/>
      <c r="G349" s="8"/>
      <c r="H349" s="8"/>
      <c r="I349" s="8"/>
      <c r="J349" s="8"/>
      <c r="K349" s="8"/>
      <c r="L349" s="8"/>
      <c r="M349" s="8"/>
      <c r="N349" s="8"/>
      <c r="O349" s="8"/>
      <c r="P349" s="8"/>
      <c r="Q349" s="8"/>
      <c r="R349" s="8"/>
      <c r="S349" s="8"/>
      <c r="T349" s="8"/>
      <c r="U349" s="8"/>
      <c r="V349" s="8"/>
      <c r="W349" s="8"/>
    </row>
    <row r="350" spans="1:23" x14ac:dyDescent="0.25">
      <c r="A350" s="8"/>
      <c r="B350" s="8"/>
      <c r="C350" s="8"/>
      <c r="D350" s="8"/>
      <c r="E350" s="8"/>
      <c r="F350" s="8"/>
      <c r="G350" s="8"/>
      <c r="H350" s="8"/>
      <c r="I350" s="8"/>
      <c r="J350" s="8"/>
      <c r="K350" s="8"/>
      <c r="L350" s="8"/>
      <c r="M350" s="8"/>
      <c r="N350" s="8"/>
      <c r="O350" s="8"/>
      <c r="P350" s="8"/>
      <c r="Q350" s="8"/>
      <c r="R350" s="8"/>
      <c r="S350" s="8"/>
      <c r="T350" s="8"/>
      <c r="U350" s="8"/>
      <c r="V350" s="8"/>
      <c r="W350" s="8"/>
    </row>
    <row r="351" spans="1:23" x14ac:dyDescent="0.25">
      <c r="A351" s="8"/>
      <c r="B351" s="8"/>
      <c r="C351" s="8"/>
      <c r="D351" s="8"/>
      <c r="E351" s="8"/>
      <c r="F351" s="8"/>
      <c r="G351" s="8"/>
      <c r="H351" s="8"/>
      <c r="I351" s="8"/>
      <c r="J351" s="8"/>
      <c r="K351" s="8"/>
      <c r="L351" s="8"/>
      <c r="M351" s="8"/>
      <c r="N351" s="8"/>
      <c r="O351" s="8"/>
      <c r="P351" s="8"/>
      <c r="Q351" s="8"/>
      <c r="R351" s="8"/>
      <c r="S351" s="8"/>
      <c r="T351" s="8"/>
      <c r="U351" s="8"/>
      <c r="V351" s="8"/>
      <c r="W351" s="8"/>
    </row>
    <row r="352" spans="1:23" x14ac:dyDescent="0.25">
      <c r="A352" s="8"/>
      <c r="B352" s="8"/>
      <c r="C352" s="8"/>
      <c r="D352" s="8"/>
      <c r="E352" s="8"/>
      <c r="F352" s="8"/>
      <c r="G352" s="8"/>
      <c r="H352" s="8"/>
      <c r="I352" s="8"/>
      <c r="J352" s="8"/>
      <c r="K352" s="8"/>
      <c r="L352" s="8"/>
      <c r="M352" s="8"/>
      <c r="N352" s="8"/>
      <c r="O352" s="8"/>
      <c r="P352" s="8"/>
      <c r="Q352" s="8"/>
      <c r="R352" s="8"/>
      <c r="S352" s="8"/>
      <c r="T352" s="8"/>
      <c r="U352" s="8"/>
      <c r="V352" s="8"/>
      <c r="W352" s="8"/>
    </row>
    <row r="353" spans="1:23" x14ac:dyDescent="0.25">
      <c r="A353" s="8"/>
      <c r="B353" s="8"/>
      <c r="C353" s="8"/>
      <c r="D353" s="8"/>
      <c r="E353" s="8"/>
      <c r="F353" s="8"/>
      <c r="G353" s="8"/>
      <c r="H353" s="8"/>
      <c r="I353" s="8"/>
      <c r="J353" s="8"/>
      <c r="K353" s="8"/>
      <c r="L353" s="8"/>
      <c r="M353" s="8"/>
      <c r="N353" s="8"/>
      <c r="O353" s="8"/>
      <c r="P353" s="8"/>
      <c r="Q353" s="8"/>
      <c r="R353" s="8"/>
      <c r="S353" s="8"/>
      <c r="T353" s="8"/>
      <c r="U353" s="8"/>
      <c r="V353" s="8"/>
      <c r="W353" s="8"/>
    </row>
    <row r="354" spans="1:23" x14ac:dyDescent="0.25">
      <c r="A354" s="8"/>
      <c r="B354" s="8"/>
      <c r="C354" s="8"/>
      <c r="D354" s="8"/>
      <c r="E354" s="8"/>
      <c r="F354" s="8"/>
      <c r="G354" s="8"/>
      <c r="H354" s="8"/>
      <c r="I354" s="8"/>
      <c r="J354" s="8"/>
      <c r="K354" s="8"/>
      <c r="L354" s="8"/>
      <c r="M354" s="8"/>
      <c r="N354" s="8"/>
      <c r="O354" s="8"/>
      <c r="P354" s="8"/>
      <c r="Q354" s="8"/>
      <c r="R354" s="8"/>
      <c r="S354" s="8"/>
      <c r="T354" s="8"/>
      <c r="U354" s="8"/>
      <c r="V354" s="8"/>
      <c r="W354" s="8"/>
    </row>
    <row r="355" spans="1:23" x14ac:dyDescent="0.25">
      <c r="A355" s="8"/>
      <c r="B355" s="8"/>
      <c r="C355" s="8"/>
      <c r="D355" s="8"/>
      <c r="E355" s="8"/>
      <c r="F355" s="8"/>
      <c r="G355" s="8"/>
      <c r="H355" s="8"/>
      <c r="I355" s="8"/>
      <c r="J355" s="8"/>
      <c r="K355" s="8"/>
      <c r="L355" s="8"/>
      <c r="M355" s="8"/>
      <c r="N355" s="8"/>
      <c r="O355" s="8"/>
      <c r="P355" s="8"/>
      <c r="Q355" s="8"/>
      <c r="R355" s="8"/>
      <c r="S355" s="8"/>
      <c r="T355" s="8"/>
      <c r="U355" s="8"/>
      <c r="V355" s="8"/>
      <c r="W355" s="8"/>
    </row>
    <row r="356" spans="1:23" x14ac:dyDescent="0.25">
      <c r="A356" s="8"/>
      <c r="B356" s="8"/>
      <c r="C356" s="8"/>
      <c r="D356" s="8"/>
      <c r="E356" s="8"/>
      <c r="F356" s="8"/>
      <c r="G356" s="8"/>
      <c r="H356" s="8"/>
      <c r="I356" s="8"/>
      <c r="J356" s="8"/>
      <c r="K356" s="8"/>
      <c r="L356" s="8"/>
      <c r="M356" s="8"/>
      <c r="N356" s="8"/>
      <c r="O356" s="8"/>
      <c r="P356" s="8"/>
      <c r="Q356" s="8"/>
      <c r="R356" s="8"/>
      <c r="S356" s="8"/>
      <c r="T356" s="8"/>
      <c r="U356" s="8"/>
      <c r="V356" s="8"/>
      <c r="W356" s="8"/>
    </row>
    <row r="357" spans="1:23" x14ac:dyDescent="0.25">
      <c r="A357" s="8"/>
      <c r="B357" s="8"/>
      <c r="C357" s="8"/>
      <c r="D357" s="8"/>
      <c r="E357" s="8"/>
      <c r="F357" s="8"/>
      <c r="G357" s="8"/>
      <c r="H357" s="8"/>
      <c r="I357" s="8"/>
      <c r="J357" s="8"/>
      <c r="K357" s="8"/>
      <c r="L357" s="8"/>
      <c r="M357" s="8"/>
      <c r="N357" s="8"/>
      <c r="O357" s="8"/>
      <c r="P357" s="8"/>
      <c r="Q357" s="8"/>
      <c r="R357" s="8"/>
      <c r="S357" s="8"/>
      <c r="T357" s="8"/>
      <c r="U357" s="8"/>
      <c r="V357" s="8"/>
      <c r="W357" s="8"/>
    </row>
    <row r="358" spans="1:23" x14ac:dyDescent="0.25">
      <c r="A358" s="8"/>
      <c r="B358" s="8"/>
      <c r="C358" s="8"/>
      <c r="D358" s="8"/>
      <c r="E358" s="8"/>
      <c r="F358" s="8"/>
      <c r="G358" s="8"/>
      <c r="H358" s="8"/>
      <c r="I358" s="8"/>
      <c r="J358" s="8"/>
      <c r="K358" s="8"/>
      <c r="L358" s="8"/>
      <c r="M358" s="8"/>
      <c r="N358" s="8"/>
      <c r="O358" s="8"/>
      <c r="P358" s="8"/>
      <c r="Q358" s="8"/>
      <c r="R358" s="8"/>
      <c r="S358" s="8"/>
      <c r="T358" s="8"/>
      <c r="U358" s="8"/>
      <c r="V358" s="8"/>
      <c r="W358" s="8"/>
    </row>
    <row r="359" spans="1:23" x14ac:dyDescent="0.25">
      <c r="A359" s="8"/>
      <c r="B359" s="8"/>
      <c r="C359" s="8"/>
      <c r="D359" s="8"/>
      <c r="E359" s="8"/>
      <c r="F359" s="8"/>
      <c r="G359" s="8"/>
      <c r="H359" s="8"/>
      <c r="I359" s="8"/>
      <c r="J359" s="8"/>
      <c r="K359" s="8"/>
      <c r="L359" s="8"/>
      <c r="M359" s="8"/>
      <c r="N359" s="8"/>
      <c r="O359" s="8"/>
      <c r="P359" s="8"/>
      <c r="Q359" s="8"/>
      <c r="R359" s="8"/>
      <c r="S359" s="8"/>
      <c r="T359" s="8"/>
      <c r="U359" s="8"/>
      <c r="V359" s="8"/>
      <c r="W359" s="8"/>
    </row>
    <row r="360" spans="1:23" x14ac:dyDescent="0.25">
      <c r="A360" s="8"/>
      <c r="B360" s="8"/>
      <c r="C360" s="8"/>
      <c r="D360" s="8"/>
      <c r="E360" s="8"/>
      <c r="F360" s="8"/>
      <c r="G360" s="8"/>
      <c r="H360" s="8"/>
      <c r="I360" s="8"/>
      <c r="J360" s="8"/>
      <c r="K360" s="8"/>
      <c r="L360" s="8"/>
      <c r="M360" s="8"/>
      <c r="N360" s="8"/>
      <c r="O360" s="8"/>
      <c r="P360" s="8"/>
      <c r="Q360" s="8"/>
      <c r="R360" s="8"/>
      <c r="S360" s="8"/>
      <c r="T360" s="8"/>
      <c r="U360" s="8"/>
      <c r="V360" s="8"/>
      <c r="W360" s="8"/>
    </row>
    <row r="361" spans="1:23" x14ac:dyDescent="0.25">
      <c r="A361" s="8"/>
      <c r="B361" s="8"/>
      <c r="C361" s="8"/>
      <c r="D361" s="8"/>
      <c r="E361" s="8"/>
      <c r="F361" s="8"/>
      <c r="G361" s="8"/>
      <c r="H361" s="8"/>
      <c r="I361" s="8"/>
      <c r="J361" s="8"/>
      <c r="K361" s="8"/>
      <c r="L361" s="8"/>
      <c r="M361" s="8"/>
      <c r="N361" s="8"/>
      <c r="O361" s="8"/>
      <c r="P361" s="8"/>
      <c r="Q361" s="8"/>
      <c r="R361" s="8"/>
      <c r="S361" s="8"/>
      <c r="T361" s="8"/>
      <c r="U361" s="8"/>
      <c r="V361" s="8"/>
      <c r="W361" s="8"/>
    </row>
    <row r="362" spans="1:23" x14ac:dyDescent="0.25">
      <c r="A362" s="8"/>
      <c r="B362" s="8"/>
      <c r="C362" s="8"/>
      <c r="D362" s="8"/>
      <c r="E362" s="8"/>
      <c r="F362" s="8"/>
      <c r="G362" s="8"/>
      <c r="H362" s="8"/>
      <c r="I362" s="8"/>
      <c r="J362" s="8"/>
      <c r="K362" s="8"/>
      <c r="L362" s="8"/>
      <c r="M362" s="8"/>
      <c r="N362" s="8"/>
      <c r="O362" s="8"/>
      <c r="P362" s="8"/>
      <c r="Q362" s="8"/>
      <c r="R362" s="8"/>
      <c r="S362" s="8"/>
      <c r="T362" s="8"/>
      <c r="U362" s="8"/>
      <c r="V362" s="8"/>
      <c r="W362" s="8"/>
    </row>
    <row r="363" spans="1:23" x14ac:dyDescent="0.25">
      <c r="A363" s="8"/>
      <c r="B363" s="8"/>
      <c r="C363" s="8"/>
      <c r="D363" s="8"/>
      <c r="E363" s="8"/>
      <c r="F363" s="8"/>
      <c r="G363" s="8"/>
      <c r="H363" s="8"/>
      <c r="I363" s="8"/>
      <c r="J363" s="8"/>
      <c r="K363" s="8"/>
      <c r="L363" s="8"/>
      <c r="M363" s="8"/>
      <c r="N363" s="8"/>
      <c r="O363" s="8"/>
      <c r="P363" s="8"/>
      <c r="Q363" s="8"/>
      <c r="R363" s="8"/>
      <c r="S363" s="8"/>
      <c r="T363" s="8"/>
      <c r="U363" s="8"/>
      <c r="V363" s="8"/>
      <c r="W363" s="8"/>
    </row>
    <row r="364" spans="1:23" x14ac:dyDescent="0.25">
      <c r="A364" s="8"/>
      <c r="B364" s="8"/>
      <c r="C364" s="8"/>
      <c r="D364" s="8"/>
      <c r="E364" s="8"/>
      <c r="F364" s="8"/>
      <c r="G364" s="8"/>
      <c r="H364" s="8"/>
      <c r="I364" s="8"/>
      <c r="J364" s="8"/>
      <c r="K364" s="8"/>
      <c r="L364" s="8"/>
      <c r="M364" s="8"/>
      <c r="N364" s="8"/>
      <c r="O364" s="8"/>
      <c r="P364" s="8"/>
      <c r="Q364" s="8"/>
      <c r="R364" s="8"/>
      <c r="S364" s="8"/>
      <c r="T364" s="8"/>
      <c r="U364" s="8"/>
      <c r="V364" s="8"/>
      <c r="W364" s="8"/>
    </row>
    <row r="365" spans="1:23" x14ac:dyDescent="0.25">
      <c r="A365" s="8"/>
      <c r="B365" s="8"/>
      <c r="C365" s="8"/>
      <c r="D365" s="8"/>
      <c r="E365" s="8"/>
      <c r="F365" s="8"/>
      <c r="G365" s="8"/>
      <c r="H365" s="8"/>
      <c r="I365" s="8"/>
      <c r="J365" s="8"/>
      <c r="K365" s="8"/>
      <c r="L365" s="8"/>
      <c r="M365" s="8"/>
      <c r="N365" s="8"/>
      <c r="O365" s="8"/>
      <c r="P365" s="8"/>
      <c r="Q365" s="8"/>
      <c r="R365" s="8"/>
      <c r="S365" s="8"/>
      <c r="T365" s="8"/>
      <c r="U365" s="8"/>
      <c r="V365" s="8"/>
      <c r="W365" s="8"/>
    </row>
    <row r="366" spans="1:23" x14ac:dyDescent="0.25">
      <c r="A366" s="8"/>
      <c r="B366" s="8"/>
      <c r="C366" s="8"/>
      <c r="D366" s="8"/>
      <c r="E366" s="8"/>
      <c r="F366" s="8"/>
      <c r="G366" s="8"/>
      <c r="H366" s="8"/>
      <c r="I366" s="8"/>
      <c r="J366" s="8"/>
      <c r="K366" s="8"/>
      <c r="L366" s="8"/>
      <c r="M366" s="8"/>
      <c r="N366" s="8"/>
      <c r="O366" s="8"/>
      <c r="P366" s="8"/>
      <c r="Q366" s="8"/>
      <c r="R366" s="8"/>
      <c r="S366" s="8"/>
      <c r="T366" s="8"/>
      <c r="U366" s="8"/>
      <c r="V366" s="8"/>
      <c r="W366" s="8"/>
    </row>
    <row r="367" spans="1:23" x14ac:dyDescent="0.25">
      <c r="A367" s="8"/>
      <c r="B367" s="8"/>
      <c r="C367" s="8"/>
      <c r="D367" s="8"/>
      <c r="E367" s="8"/>
      <c r="F367" s="8"/>
      <c r="G367" s="8"/>
      <c r="H367" s="8"/>
      <c r="I367" s="8"/>
      <c r="J367" s="8"/>
      <c r="K367" s="8"/>
      <c r="L367" s="8"/>
      <c r="M367" s="8"/>
      <c r="N367" s="8"/>
      <c r="O367" s="8"/>
      <c r="P367" s="8"/>
      <c r="Q367" s="8"/>
      <c r="R367" s="8"/>
      <c r="S367" s="8"/>
      <c r="T367" s="8"/>
      <c r="U367" s="8"/>
      <c r="V367" s="8"/>
      <c r="W367" s="8"/>
    </row>
    <row r="368" spans="1:23" x14ac:dyDescent="0.25">
      <c r="A368" s="8"/>
      <c r="B368" s="8"/>
      <c r="C368" s="8"/>
      <c r="D368" s="8"/>
      <c r="E368" s="8"/>
      <c r="F368" s="8"/>
      <c r="G368" s="8"/>
      <c r="H368" s="8"/>
      <c r="I368" s="8"/>
      <c r="J368" s="8"/>
      <c r="K368" s="8"/>
      <c r="L368" s="8"/>
      <c r="M368" s="8"/>
      <c r="N368" s="8"/>
      <c r="O368" s="8"/>
      <c r="P368" s="8"/>
      <c r="Q368" s="8"/>
      <c r="R368" s="8"/>
      <c r="S368" s="8"/>
      <c r="T368" s="8"/>
      <c r="U368" s="8"/>
      <c r="V368" s="8"/>
      <c r="W368" s="8"/>
    </row>
    <row r="369" spans="1:23" x14ac:dyDescent="0.25">
      <c r="A369" s="8"/>
      <c r="B369" s="8"/>
      <c r="C369" s="8"/>
      <c r="D369" s="8"/>
      <c r="E369" s="8"/>
      <c r="F369" s="8"/>
      <c r="G369" s="8"/>
      <c r="H369" s="8"/>
      <c r="I369" s="8"/>
      <c r="J369" s="8"/>
      <c r="K369" s="8"/>
      <c r="L369" s="8"/>
      <c r="M369" s="8"/>
      <c r="N369" s="8"/>
      <c r="O369" s="8"/>
      <c r="P369" s="8"/>
      <c r="Q369" s="8"/>
      <c r="R369" s="8"/>
      <c r="S369" s="8"/>
      <c r="T369" s="8"/>
      <c r="U369" s="8"/>
      <c r="V369" s="8"/>
      <c r="W369" s="8"/>
    </row>
    <row r="370" spans="1:23" x14ac:dyDescent="0.25">
      <c r="A370" s="8"/>
      <c r="B370" s="8"/>
      <c r="C370" s="8"/>
      <c r="D370" s="8"/>
      <c r="E370" s="8"/>
      <c r="F370" s="8"/>
      <c r="G370" s="8"/>
      <c r="H370" s="8"/>
      <c r="I370" s="8"/>
      <c r="J370" s="8"/>
      <c r="K370" s="8"/>
      <c r="L370" s="8"/>
      <c r="M370" s="8"/>
      <c r="N370" s="8"/>
      <c r="O370" s="8"/>
      <c r="P370" s="8"/>
      <c r="Q370" s="8"/>
      <c r="R370" s="8"/>
      <c r="S370" s="8"/>
      <c r="T370" s="8"/>
      <c r="U370" s="8"/>
      <c r="V370" s="8"/>
      <c r="W370" s="8"/>
    </row>
    <row r="371" spans="1:23" x14ac:dyDescent="0.25">
      <c r="A371" s="8"/>
      <c r="B371" s="8"/>
      <c r="C371" s="8"/>
      <c r="D371" s="8"/>
      <c r="E371" s="8"/>
      <c r="F371" s="8"/>
      <c r="G371" s="8"/>
      <c r="H371" s="8"/>
      <c r="I371" s="8"/>
      <c r="J371" s="8"/>
      <c r="K371" s="8"/>
      <c r="L371" s="8"/>
      <c r="M371" s="8"/>
      <c r="N371" s="8"/>
      <c r="O371" s="8"/>
      <c r="P371" s="8"/>
      <c r="Q371" s="8"/>
      <c r="R371" s="8"/>
      <c r="S371" s="8"/>
      <c r="T371" s="8"/>
      <c r="U371" s="8"/>
      <c r="V371" s="8"/>
      <c r="W371" s="8"/>
    </row>
    <row r="372" spans="1:23" x14ac:dyDescent="0.25">
      <c r="A372" s="8"/>
      <c r="B372" s="8"/>
      <c r="C372" s="8"/>
      <c r="D372" s="8"/>
      <c r="E372" s="8"/>
      <c r="F372" s="8"/>
      <c r="G372" s="8"/>
      <c r="H372" s="8"/>
      <c r="I372" s="8"/>
      <c r="J372" s="8"/>
      <c r="K372" s="8"/>
      <c r="L372" s="8"/>
      <c r="M372" s="8"/>
      <c r="N372" s="8"/>
      <c r="O372" s="8"/>
      <c r="P372" s="8"/>
      <c r="Q372" s="8"/>
      <c r="R372" s="8"/>
      <c r="S372" s="8"/>
      <c r="T372" s="8"/>
      <c r="U372" s="8"/>
      <c r="V372" s="8"/>
      <c r="W372" s="8"/>
    </row>
    <row r="373" spans="1:23" x14ac:dyDescent="0.25">
      <c r="A373" s="8"/>
      <c r="B373" s="8"/>
      <c r="C373" s="8"/>
      <c r="D373" s="8"/>
      <c r="E373" s="8"/>
      <c r="F373" s="8"/>
      <c r="G373" s="8"/>
      <c r="H373" s="8"/>
      <c r="I373" s="8"/>
      <c r="J373" s="8"/>
      <c r="K373" s="8"/>
      <c r="L373" s="8"/>
      <c r="M373" s="8"/>
      <c r="N373" s="8"/>
      <c r="O373" s="8"/>
      <c r="P373" s="8"/>
      <c r="Q373" s="8"/>
      <c r="R373" s="8"/>
      <c r="S373" s="8"/>
      <c r="T373" s="8"/>
      <c r="U373" s="8"/>
      <c r="V373" s="8"/>
      <c r="W373" s="8"/>
    </row>
    <row r="374" spans="1:23" x14ac:dyDescent="0.25">
      <c r="A374" s="8"/>
      <c r="B374" s="8"/>
      <c r="C374" s="8"/>
      <c r="D374" s="8"/>
      <c r="E374" s="8"/>
      <c r="F374" s="8"/>
      <c r="G374" s="8"/>
      <c r="H374" s="8"/>
      <c r="I374" s="8"/>
      <c r="J374" s="8"/>
      <c r="K374" s="8"/>
      <c r="L374" s="8"/>
      <c r="M374" s="8"/>
      <c r="N374" s="8"/>
      <c r="O374" s="8"/>
      <c r="P374" s="8"/>
      <c r="Q374" s="8"/>
      <c r="R374" s="8"/>
      <c r="S374" s="8"/>
      <c r="T374" s="8"/>
      <c r="U374" s="8"/>
      <c r="V374" s="8"/>
      <c r="W374" s="8"/>
    </row>
    <row r="375" spans="1:23" x14ac:dyDescent="0.25">
      <c r="A375" s="8"/>
      <c r="B375" s="8"/>
      <c r="C375" s="8"/>
      <c r="D375" s="8"/>
      <c r="E375" s="8"/>
      <c r="F375" s="8"/>
      <c r="G375" s="8"/>
      <c r="H375" s="8"/>
      <c r="I375" s="8"/>
      <c r="J375" s="8"/>
      <c r="K375" s="8"/>
      <c r="L375" s="8"/>
      <c r="M375" s="8"/>
      <c r="N375" s="8"/>
      <c r="O375" s="8"/>
      <c r="P375" s="8"/>
      <c r="Q375" s="8"/>
      <c r="R375" s="8"/>
      <c r="S375" s="8"/>
      <c r="T375" s="8"/>
      <c r="U375" s="8"/>
      <c r="V375" s="8"/>
      <c r="W375" s="8"/>
    </row>
    <row r="376" spans="1:23" x14ac:dyDescent="0.25">
      <c r="A376" s="8"/>
      <c r="B376" s="8"/>
      <c r="C376" s="8"/>
      <c r="D376" s="8"/>
      <c r="E376" s="8"/>
      <c r="F376" s="8"/>
      <c r="G376" s="8"/>
      <c r="H376" s="8"/>
      <c r="I376" s="8"/>
      <c r="J376" s="8"/>
      <c r="K376" s="8"/>
      <c r="L376" s="8"/>
      <c r="M376" s="8"/>
      <c r="N376" s="8"/>
      <c r="O376" s="8"/>
      <c r="P376" s="8"/>
      <c r="Q376" s="8"/>
      <c r="R376" s="8"/>
      <c r="S376" s="8"/>
      <c r="T376" s="8"/>
      <c r="U376" s="8"/>
      <c r="V376" s="8"/>
      <c r="W376" s="8"/>
    </row>
    <row r="377" spans="1:23" x14ac:dyDescent="0.25">
      <c r="A377" s="8"/>
      <c r="B377" s="8"/>
      <c r="C377" s="8"/>
      <c r="D377" s="8"/>
      <c r="E377" s="8"/>
      <c r="F377" s="8"/>
      <c r="G377" s="8"/>
      <c r="H377" s="8"/>
      <c r="I377" s="8"/>
      <c r="J377" s="8"/>
      <c r="K377" s="8"/>
      <c r="L377" s="8"/>
      <c r="M377" s="8"/>
      <c r="N377" s="8"/>
      <c r="O377" s="8"/>
      <c r="P377" s="8"/>
      <c r="Q377" s="8"/>
      <c r="R377" s="8"/>
      <c r="S377" s="8"/>
      <c r="T377" s="8"/>
      <c r="U377" s="8"/>
      <c r="V377" s="8"/>
      <c r="W377" s="8"/>
    </row>
    <row r="378" spans="1:23" x14ac:dyDescent="0.25">
      <c r="A378" s="8"/>
      <c r="B378" s="8"/>
      <c r="C378" s="8"/>
      <c r="D378" s="8"/>
      <c r="E378" s="8"/>
      <c r="F378" s="8"/>
      <c r="G378" s="8"/>
      <c r="H378" s="8"/>
      <c r="I378" s="8"/>
      <c r="J378" s="8"/>
      <c r="K378" s="8"/>
      <c r="L378" s="8"/>
      <c r="M378" s="8"/>
      <c r="N378" s="8"/>
      <c r="O378" s="8"/>
      <c r="P378" s="8"/>
      <c r="Q378" s="8"/>
      <c r="R378" s="8"/>
      <c r="S378" s="8"/>
      <c r="T378" s="8"/>
      <c r="U378" s="8"/>
      <c r="V378" s="8"/>
      <c r="W378" s="8"/>
    </row>
    <row r="379" spans="1:23" x14ac:dyDescent="0.25">
      <c r="A379" s="8"/>
      <c r="B379" s="8"/>
      <c r="C379" s="8"/>
      <c r="D379" s="8"/>
      <c r="E379" s="8"/>
      <c r="F379" s="8"/>
      <c r="G379" s="8"/>
      <c r="H379" s="8"/>
      <c r="I379" s="8"/>
      <c r="J379" s="8"/>
      <c r="K379" s="8"/>
      <c r="L379" s="8"/>
      <c r="M379" s="8"/>
      <c r="N379" s="8"/>
      <c r="O379" s="8"/>
      <c r="P379" s="8"/>
      <c r="Q379" s="8"/>
      <c r="R379" s="8"/>
      <c r="S379" s="8"/>
      <c r="T379" s="8"/>
      <c r="U379" s="8"/>
      <c r="V379" s="8"/>
      <c r="W379" s="8"/>
    </row>
    <row r="380" spans="1:23" x14ac:dyDescent="0.25">
      <c r="A380" s="8"/>
      <c r="B380" s="8"/>
      <c r="C380" s="8"/>
      <c r="D380" s="8"/>
      <c r="E380" s="8"/>
      <c r="F380" s="8"/>
      <c r="G380" s="8"/>
      <c r="H380" s="8"/>
      <c r="I380" s="8"/>
      <c r="J380" s="8"/>
      <c r="K380" s="8"/>
      <c r="L380" s="8"/>
      <c r="M380" s="8"/>
      <c r="N380" s="8"/>
      <c r="O380" s="8"/>
      <c r="P380" s="8"/>
      <c r="Q380" s="8"/>
      <c r="R380" s="8"/>
      <c r="S380" s="8"/>
      <c r="T380" s="8"/>
      <c r="U380" s="8"/>
      <c r="V380" s="8"/>
      <c r="W380" s="8"/>
    </row>
    <row r="381" spans="1:23" x14ac:dyDescent="0.25">
      <c r="A381" s="8"/>
      <c r="B381" s="8"/>
      <c r="C381" s="8"/>
      <c r="D381" s="8"/>
      <c r="E381" s="8"/>
      <c r="F381" s="8"/>
      <c r="G381" s="8"/>
      <c r="H381" s="8"/>
      <c r="I381" s="8"/>
      <c r="J381" s="8"/>
      <c r="K381" s="8"/>
      <c r="L381" s="8"/>
      <c r="M381" s="8"/>
      <c r="N381" s="8"/>
      <c r="O381" s="8"/>
      <c r="P381" s="8"/>
      <c r="Q381" s="8"/>
      <c r="R381" s="8"/>
      <c r="S381" s="8"/>
      <c r="T381" s="8"/>
      <c r="U381" s="8"/>
      <c r="V381" s="8"/>
      <c r="W381" s="8"/>
    </row>
    <row r="382" spans="1:23" x14ac:dyDescent="0.25">
      <c r="A382" s="8"/>
      <c r="B382" s="8"/>
      <c r="C382" s="8"/>
      <c r="D382" s="8"/>
      <c r="E382" s="8"/>
      <c r="F382" s="8"/>
      <c r="G382" s="8"/>
      <c r="H382" s="8"/>
      <c r="I382" s="8"/>
      <c r="J382" s="8"/>
      <c r="K382" s="8"/>
      <c r="L382" s="8"/>
      <c r="M382" s="8"/>
      <c r="N382" s="8"/>
      <c r="O382" s="8"/>
      <c r="P382" s="8"/>
      <c r="Q382" s="8"/>
      <c r="R382" s="8"/>
      <c r="S382" s="8"/>
      <c r="T382" s="8"/>
      <c r="U382" s="8"/>
      <c r="V382" s="8"/>
      <c r="W382" s="8"/>
    </row>
    <row r="383" spans="1:23" x14ac:dyDescent="0.25">
      <c r="A383" s="8"/>
      <c r="B383" s="8"/>
      <c r="C383" s="8"/>
      <c r="D383" s="8"/>
      <c r="E383" s="8"/>
      <c r="F383" s="8"/>
      <c r="G383" s="8"/>
      <c r="H383" s="8"/>
      <c r="I383" s="8"/>
      <c r="J383" s="8"/>
      <c r="K383" s="8"/>
      <c r="L383" s="8"/>
      <c r="M383" s="8"/>
      <c r="N383" s="8"/>
      <c r="O383" s="8"/>
      <c r="P383" s="8"/>
      <c r="Q383" s="8"/>
      <c r="R383" s="8"/>
      <c r="S383" s="8"/>
      <c r="T383" s="8"/>
      <c r="U383" s="8"/>
      <c r="V383" s="8"/>
      <c r="W383" s="8"/>
    </row>
    <row r="384" spans="1:23" x14ac:dyDescent="0.25">
      <c r="A384" s="8"/>
      <c r="B384" s="8"/>
      <c r="C384" s="8"/>
      <c r="D384" s="8"/>
      <c r="E384" s="8"/>
      <c r="F384" s="8"/>
      <c r="G384" s="8"/>
      <c r="H384" s="8"/>
      <c r="I384" s="8"/>
      <c r="J384" s="8"/>
      <c r="K384" s="8"/>
      <c r="L384" s="8"/>
      <c r="M384" s="8"/>
      <c r="N384" s="8"/>
      <c r="O384" s="8"/>
      <c r="P384" s="8"/>
      <c r="Q384" s="8"/>
      <c r="R384" s="8"/>
      <c r="S384" s="8"/>
      <c r="T384" s="8"/>
      <c r="U384" s="8"/>
      <c r="V384" s="8"/>
      <c r="W384" s="8"/>
    </row>
    <row r="385" spans="1:23" x14ac:dyDescent="0.25">
      <c r="A385" s="8"/>
      <c r="B385" s="8"/>
      <c r="C385" s="8"/>
      <c r="D385" s="8"/>
      <c r="E385" s="8"/>
      <c r="F385" s="8"/>
      <c r="G385" s="8"/>
      <c r="H385" s="8"/>
      <c r="I385" s="8"/>
      <c r="J385" s="8"/>
      <c r="K385" s="8"/>
      <c r="L385" s="8"/>
      <c r="M385" s="8"/>
      <c r="N385" s="8"/>
      <c r="O385" s="8"/>
      <c r="P385" s="8"/>
      <c r="Q385" s="8"/>
      <c r="R385" s="8"/>
      <c r="S385" s="8"/>
      <c r="T385" s="8"/>
      <c r="U385" s="8"/>
      <c r="V385" s="8"/>
      <c r="W385" s="8"/>
    </row>
    <row r="386" spans="1:23" x14ac:dyDescent="0.25">
      <c r="A386" s="8"/>
      <c r="B386" s="8"/>
      <c r="C386" s="8"/>
      <c r="D386" s="8"/>
      <c r="E386" s="8"/>
      <c r="F386" s="8"/>
      <c r="G386" s="8"/>
      <c r="H386" s="8"/>
      <c r="I386" s="8"/>
      <c r="J386" s="8"/>
      <c r="K386" s="8"/>
      <c r="L386" s="8"/>
      <c r="M386" s="8"/>
      <c r="N386" s="8"/>
      <c r="O386" s="8"/>
      <c r="P386" s="8"/>
      <c r="Q386" s="8"/>
      <c r="R386" s="8"/>
      <c r="S386" s="8"/>
      <c r="T386" s="8"/>
      <c r="U386" s="8"/>
      <c r="V386" s="8"/>
      <c r="W386" s="8"/>
    </row>
    <row r="387" spans="1:23" x14ac:dyDescent="0.25">
      <c r="A387" s="8"/>
      <c r="B387" s="8"/>
      <c r="C387" s="8"/>
      <c r="D387" s="8"/>
      <c r="E387" s="8"/>
      <c r="F387" s="8"/>
      <c r="G387" s="8"/>
      <c r="H387" s="8"/>
      <c r="I387" s="8"/>
      <c r="J387" s="8"/>
      <c r="K387" s="8"/>
      <c r="L387" s="8"/>
      <c r="M387" s="8"/>
      <c r="N387" s="8"/>
      <c r="O387" s="8"/>
      <c r="P387" s="8"/>
      <c r="Q387" s="8"/>
      <c r="R387" s="8"/>
      <c r="S387" s="8"/>
      <c r="T387" s="8"/>
      <c r="U387" s="8"/>
      <c r="V387" s="8"/>
      <c r="W387" s="8"/>
    </row>
    <row r="388" spans="1:23" x14ac:dyDescent="0.25">
      <c r="A388" s="8"/>
      <c r="B388" s="8"/>
      <c r="C388" s="8"/>
      <c r="D388" s="8"/>
      <c r="E388" s="8"/>
      <c r="F388" s="8"/>
      <c r="G388" s="8"/>
      <c r="H388" s="8"/>
      <c r="I388" s="8"/>
      <c r="J388" s="8"/>
      <c r="K388" s="8"/>
      <c r="L388" s="8"/>
      <c r="M388" s="8"/>
      <c r="N388" s="8"/>
      <c r="O388" s="8"/>
      <c r="P388" s="8"/>
      <c r="Q388" s="8"/>
      <c r="R388" s="8"/>
      <c r="S388" s="8"/>
      <c r="T388" s="8"/>
      <c r="U388" s="8"/>
      <c r="V388" s="8"/>
      <c r="W388" s="8"/>
    </row>
    <row r="389" spans="1:23" x14ac:dyDescent="0.25">
      <c r="A389" s="8"/>
      <c r="B389" s="8"/>
      <c r="C389" s="8"/>
      <c r="D389" s="8"/>
      <c r="E389" s="8"/>
      <c r="F389" s="8"/>
      <c r="G389" s="8"/>
      <c r="H389" s="8"/>
      <c r="I389" s="8"/>
      <c r="J389" s="8"/>
      <c r="K389" s="8"/>
      <c r="L389" s="8"/>
      <c r="M389" s="8"/>
      <c r="N389" s="8"/>
      <c r="O389" s="8"/>
      <c r="P389" s="8"/>
      <c r="Q389" s="8"/>
      <c r="R389" s="8"/>
      <c r="S389" s="8"/>
      <c r="T389" s="8"/>
      <c r="U389" s="8"/>
      <c r="V389" s="8"/>
      <c r="W389" s="8"/>
    </row>
    <row r="390" spans="1:23" x14ac:dyDescent="0.25">
      <c r="A390" s="8"/>
      <c r="B390" s="8"/>
      <c r="C390" s="8"/>
      <c r="D390" s="8"/>
      <c r="E390" s="8"/>
      <c r="F390" s="8"/>
      <c r="G390" s="8"/>
      <c r="H390" s="8"/>
      <c r="I390" s="8"/>
      <c r="J390" s="8"/>
      <c r="K390" s="8"/>
      <c r="L390" s="8"/>
      <c r="M390" s="8"/>
      <c r="N390" s="8"/>
      <c r="O390" s="8"/>
      <c r="P390" s="8"/>
      <c r="Q390" s="8"/>
      <c r="R390" s="8"/>
      <c r="S390" s="8"/>
      <c r="T390" s="8"/>
      <c r="U390" s="8"/>
      <c r="V390" s="8"/>
      <c r="W390" s="8"/>
    </row>
    <row r="391" spans="1:23" x14ac:dyDescent="0.25">
      <c r="A391" s="8"/>
      <c r="B391" s="8"/>
      <c r="C391" s="8"/>
      <c r="D391" s="8"/>
      <c r="E391" s="8"/>
      <c r="F391" s="8"/>
      <c r="G391" s="8"/>
      <c r="H391" s="8"/>
      <c r="I391" s="8"/>
      <c r="J391" s="8"/>
      <c r="K391" s="8"/>
      <c r="L391" s="8"/>
      <c r="M391" s="8"/>
      <c r="N391" s="8"/>
      <c r="O391" s="8"/>
      <c r="P391" s="8"/>
      <c r="Q391" s="8"/>
      <c r="R391" s="8"/>
      <c r="S391" s="8"/>
      <c r="T391" s="8"/>
      <c r="U391" s="8"/>
      <c r="V391" s="8"/>
      <c r="W391" s="8"/>
    </row>
    <row r="392" spans="1:23" x14ac:dyDescent="0.25">
      <c r="A392" s="8"/>
      <c r="B392" s="8"/>
      <c r="C392" s="8"/>
      <c r="D392" s="8"/>
      <c r="E392" s="8"/>
      <c r="F392" s="8"/>
      <c r="G392" s="8"/>
      <c r="H392" s="8"/>
      <c r="I392" s="8"/>
      <c r="J392" s="8"/>
      <c r="K392" s="8"/>
      <c r="L392" s="8"/>
      <c r="M392" s="8"/>
      <c r="N392" s="8"/>
      <c r="O392" s="8"/>
      <c r="P392" s="8"/>
      <c r="Q392" s="8"/>
      <c r="R392" s="8"/>
      <c r="S392" s="8"/>
      <c r="T392" s="8"/>
      <c r="U392" s="8"/>
      <c r="V392" s="8"/>
      <c r="W392" s="8"/>
    </row>
    <row r="393" spans="1:23" x14ac:dyDescent="0.25">
      <c r="A393" s="8"/>
      <c r="B393" s="8"/>
      <c r="C393" s="8"/>
      <c r="D393" s="8"/>
      <c r="E393" s="8"/>
      <c r="F393" s="8"/>
      <c r="G393" s="8"/>
      <c r="H393" s="8"/>
      <c r="I393" s="8"/>
      <c r="J393" s="8"/>
      <c r="K393" s="8"/>
      <c r="L393" s="8"/>
      <c r="M393" s="8"/>
      <c r="N393" s="8"/>
      <c r="O393" s="8"/>
      <c r="P393" s="8"/>
      <c r="Q393" s="8"/>
      <c r="R393" s="8"/>
      <c r="S393" s="8"/>
      <c r="T393" s="8"/>
      <c r="U393" s="8"/>
      <c r="V393" s="8"/>
      <c r="W393" s="8"/>
    </row>
    <row r="394" spans="1:23" x14ac:dyDescent="0.25">
      <c r="A394" s="8"/>
      <c r="B394" s="8"/>
      <c r="C394" s="8"/>
      <c r="D394" s="8"/>
      <c r="E394" s="8"/>
      <c r="F394" s="8"/>
      <c r="G394" s="8"/>
      <c r="H394" s="8"/>
      <c r="I394" s="8"/>
      <c r="J394" s="8"/>
      <c r="K394" s="8"/>
      <c r="L394" s="8"/>
      <c r="M394" s="8"/>
      <c r="N394" s="8"/>
      <c r="O394" s="8"/>
      <c r="P394" s="8"/>
      <c r="Q394" s="8"/>
      <c r="R394" s="8"/>
      <c r="S394" s="8"/>
      <c r="T394" s="8"/>
      <c r="U394" s="8"/>
      <c r="V394" s="8"/>
      <c r="W394" s="8"/>
    </row>
    <row r="395" spans="1:23" x14ac:dyDescent="0.25">
      <c r="A395" s="8"/>
      <c r="B395" s="8"/>
      <c r="C395" s="8"/>
      <c r="D395" s="8"/>
      <c r="E395" s="8"/>
      <c r="F395" s="8"/>
      <c r="G395" s="8"/>
      <c r="H395" s="8"/>
      <c r="I395" s="8"/>
      <c r="J395" s="8"/>
      <c r="K395" s="8"/>
      <c r="L395" s="8"/>
      <c r="M395" s="8"/>
      <c r="N395" s="8"/>
      <c r="O395" s="8"/>
      <c r="P395" s="8"/>
      <c r="Q395" s="8"/>
      <c r="R395" s="8"/>
      <c r="S395" s="8"/>
      <c r="T395" s="8"/>
      <c r="U395" s="8"/>
      <c r="V395" s="8"/>
      <c r="W395" s="8"/>
    </row>
    <row r="396" spans="1:23" x14ac:dyDescent="0.25">
      <c r="A396" s="8"/>
      <c r="B396" s="8"/>
      <c r="C396" s="8"/>
      <c r="D396" s="8"/>
      <c r="E396" s="8"/>
      <c r="F396" s="8"/>
      <c r="G396" s="8"/>
      <c r="H396" s="8"/>
      <c r="I396" s="8"/>
      <c r="J396" s="8"/>
      <c r="K396" s="8"/>
      <c r="L396" s="8"/>
      <c r="M396" s="8"/>
      <c r="N396" s="8"/>
      <c r="O396" s="8"/>
      <c r="P396" s="8"/>
      <c r="Q396" s="8"/>
      <c r="R396" s="8"/>
      <c r="S396" s="8"/>
      <c r="T396" s="8"/>
      <c r="U396" s="8"/>
      <c r="V396" s="8"/>
      <c r="W396" s="8"/>
    </row>
    <row r="397" spans="1:23" x14ac:dyDescent="0.25">
      <c r="A397" s="8"/>
      <c r="B397" s="8"/>
      <c r="C397" s="8"/>
      <c r="D397" s="8"/>
      <c r="E397" s="8"/>
      <c r="F397" s="8"/>
      <c r="G397" s="8"/>
      <c r="H397" s="8"/>
      <c r="I397" s="8"/>
      <c r="J397" s="8"/>
      <c r="K397" s="8"/>
      <c r="L397" s="8"/>
      <c r="M397" s="8"/>
      <c r="N397" s="8"/>
      <c r="O397" s="8"/>
      <c r="P397" s="8"/>
      <c r="Q397" s="8"/>
      <c r="R397" s="8"/>
      <c r="S397" s="8"/>
      <c r="T397" s="8"/>
      <c r="U397" s="8"/>
      <c r="V397" s="8"/>
      <c r="W397" s="8"/>
    </row>
    <row r="398" spans="1:23" x14ac:dyDescent="0.25">
      <c r="A398" s="8"/>
      <c r="B398" s="8"/>
      <c r="C398" s="8"/>
      <c r="D398" s="8"/>
      <c r="E398" s="8"/>
      <c r="F398" s="8"/>
      <c r="G398" s="8"/>
      <c r="H398" s="8"/>
      <c r="I398" s="8"/>
      <c r="J398" s="8"/>
      <c r="K398" s="8"/>
      <c r="L398" s="8"/>
      <c r="M398" s="8"/>
      <c r="N398" s="8"/>
      <c r="O398" s="8"/>
      <c r="P398" s="8"/>
      <c r="Q398" s="8"/>
      <c r="R398" s="8"/>
      <c r="S398" s="8"/>
      <c r="T398" s="8"/>
      <c r="U398" s="8"/>
      <c r="V398" s="8"/>
      <c r="W398" s="8"/>
    </row>
    <row r="399" spans="1:23" x14ac:dyDescent="0.25">
      <c r="A399" s="8"/>
      <c r="B399" s="8"/>
      <c r="C399" s="8"/>
      <c r="D399" s="8"/>
      <c r="E399" s="8"/>
      <c r="F399" s="8"/>
      <c r="G399" s="8"/>
      <c r="H399" s="8"/>
      <c r="I399" s="8"/>
      <c r="J399" s="8"/>
      <c r="K399" s="8"/>
      <c r="L399" s="8"/>
      <c r="M399" s="8"/>
      <c r="N399" s="8"/>
      <c r="O399" s="8"/>
      <c r="P399" s="8"/>
      <c r="Q399" s="8"/>
      <c r="R399" s="8"/>
      <c r="S399" s="8"/>
      <c r="T399" s="8"/>
      <c r="U399" s="8"/>
      <c r="V399" s="8"/>
      <c r="W399" s="8"/>
    </row>
    <row r="400" spans="1:23" x14ac:dyDescent="0.25">
      <c r="A400" s="8"/>
      <c r="B400" s="8"/>
      <c r="C400" s="8"/>
      <c r="D400" s="8"/>
      <c r="E400" s="8"/>
      <c r="F400" s="8"/>
      <c r="G400" s="8"/>
      <c r="H400" s="8"/>
      <c r="I400" s="8"/>
      <c r="J400" s="8"/>
      <c r="K400" s="8"/>
      <c r="L400" s="8"/>
      <c r="M400" s="8"/>
      <c r="N400" s="8"/>
      <c r="O400" s="8"/>
      <c r="P400" s="8"/>
      <c r="Q400" s="8"/>
      <c r="R400" s="8"/>
      <c r="S400" s="8"/>
      <c r="T400" s="8"/>
      <c r="U400" s="8"/>
      <c r="V400" s="8"/>
      <c r="W400" s="8"/>
    </row>
    <row r="401" spans="1:23" x14ac:dyDescent="0.25">
      <c r="A401" s="8"/>
      <c r="B401" s="8"/>
      <c r="C401" s="8"/>
      <c r="D401" s="8"/>
      <c r="E401" s="8"/>
      <c r="F401" s="8"/>
      <c r="G401" s="8"/>
      <c r="H401" s="8"/>
      <c r="I401" s="8"/>
      <c r="J401" s="8"/>
      <c r="K401" s="8"/>
      <c r="L401" s="8"/>
      <c r="M401" s="8"/>
      <c r="N401" s="8"/>
      <c r="O401" s="8"/>
      <c r="P401" s="8"/>
      <c r="Q401" s="8"/>
      <c r="R401" s="8"/>
      <c r="S401" s="8"/>
      <c r="T401" s="8"/>
      <c r="U401" s="8"/>
      <c r="V401" s="8"/>
      <c r="W401" s="8"/>
    </row>
    <row r="402" spans="1:23" x14ac:dyDescent="0.25">
      <c r="A402" s="8"/>
      <c r="B402" s="8"/>
      <c r="C402" s="8"/>
      <c r="D402" s="8"/>
      <c r="E402" s="8"/>
      <c r="F402" s="8"/>
      <c r="G402" s="8"/>
      <c r="H402" s="8"/>
      <c r="I402" s="8"/>
      <c r="J402" s="8"/>
      <c r="K402" s="8"/>
      <c r="L402" s="8"/>
      <c r="M402" s="8"/>
      <c r="N402" s="8"/>
      <c r="O402" s="8"/>
      <c r="P402" s="8"/>
      <c r="Q402" s="8"/>
      <c r="R402" s="8"/>
      <c r="S402" s="8"/>
      <c r="T402" s="8"/>
      <c r="U402" s="8"/>
      <c r="V402" s="8"/>
      <c r="W402" s="8"/>
    </row>
    <row r="403" spans="1:23" x14ac:dyDescent="0.25">
      <c r="A403" s="8"/>
      <c r="B403" s="8"/>
      <c r="C403" s="8"/>
      <c r="D403" s="8"/>
      <c r="E403" s="8"/>
      <c r="F403" s="8"/>
      <c r="G403" s="8"/>
      <c r="H403" s="8"/>
      <c r="I403" s="8"/>
      <c r="J403" s="8"/>
      <c r="K403" s="8"/>
      <c r="L403" s="8"/>
      <c r="M403" s="8"/>
      <c r="N403" s="8"/>
      <c r="O403" s="8"/>
      <c r="P403" s="8"/>
      <c r="Q403" s="8"/>
      <c r="R403" s="8"/>
      <c r="S403" s="8"/>
      <c r="T403" s="8"/>
      <c r="U403" s="8"/>
      <c r="V403" s="8"/>
      <c r="W403" s="8"/>
    </row>
    <row r="404" spans="1:23" x14ac:dyDescent="0.25">
      <c r="A404" s="8"/>
      <c r="B404" s="8"/>
      <c r="C404" s="8"/>
      <c r="D404" s="8"/>
      <c r="E404" s="8"/>
      <c r="F404" s="8"/>
      <c r="G404" s="8"/>
      <c r="H404" s="8"/>
      <c r="I404" s="8"/>
      <c r="J404" s="8"/>
      <c r="K404" s="8"/>
      <c r="L404" s="8"/>
      <c r="M404" s="8"/>
      <c r="N404" s="8"/>
      <c r="O404" s="8"/>
      <c r="P404" s="8"/>
      <c r="Q404" s="8"/>
      <c r="R404" s="8"/>
      <c r="S404" s="8"/>
      <c r="T404" s="8"/>
      <c r="U404" s="8"/>
      <c r="V404" s="8"/>
      <c r="W404" s="8"/>
    </row>
    <row r="405" spans="1:23" x14ac:dyDescent="0.25">
      <c r="A405" s="8"/>
      <c r="B405" s="8"/>
      <c r="C405" s="8"/>
      <c r="D405" s="8"/>
      <c r="E405" s="8"/>
      <c r="F405" s="8"/>
      <c r="G405" s="8"/>
      <c r="H405" s="8"/>
      <c r="I405" s="8"/>
      <c r="J405" s="8"/>
      <c r="K405" s="8"/>
      <c r="L405" s="8"/>
      <c r="M405" s="8"/>
      <c r="N405" s="8"/>
      <c r="O405" s="8"/>
      <c r="P405" s="8"/>
      <c r="Q405" s="8"/>
      <c r="R405" s="8"/>
      <c r="S405" s="8"/>
      <c r="T405" s="8"/>
      <c r="U405" s="8"/>
      <c r="V405" s="8"/>
      <c r="W405" s="8"/>
    </row>
    <row r="406" spans="1:23" x14ac:dyDescent="0.25">
      <c r="A406" s="8"/>
      <c r="B406" s="8"/>
      <c r="C406" s="8"/>
      <c r="D406" s="8"/>
      <c r="E406" s="8"/>
      <c r="F406" s="8"/>
      <c r="G406" s="8"/>
      <c r="H406" s="8"/>
      <c r="I406" s="8"/>
      <c r="J406" s="8"/>
      <c r="K406" s="8"/>
      <c r="L406" s="8"/>
      <c r="M406" s="8"/>
      <c r="N406" s="8"/>
      <c r="O406" s="8"/>
      <c r="P406" s="8"/>
      <c r="Q406" s="8"/>
      <c r="R406" s="8"/>
      <c r="S406" s="8"/>
      <c r="T406" s="8"/>
      <c r="U406" s="8"/>
      <c r="V406" s="8"/>
      <c r="W406" s="8"/>
    </row>
    <row r="407" spans="1:23" x14ac:dyDescent="0.25">
      <c r="A407" s="8"/>
      <c r="B407" s="8"/>
      <c r="C407" s="8"/>
      <c r="D407" s="8"/>
      <c r="E407" s="8"/>
      <c r="F407" s="8"/>
      <c r="G407" s="8"/>
      <c r="H407" s="8"/>
      <c r="I407" s="8"/>
      <c r="J407" s="8"/>
      <c r="K407" s="8"/>
      <c r="L407" s="8"/>
      <c r="M407" s="8"/>
      <c r="N407" s="8"/>
      <c r="O407" s="8"/>
      <c r="P407" s="8"/>
      <c r="Q407" s="8"/>
      <c r="R407" s="8"/>
      <c r="S407" s="8"/>
      <c r="T407" s="8"/>
      <c r="U407" s="8"/>
      <c r="V407" s="8"/>
      <c r="W407" s="8"/>
    </row>
    <row r="408" spans="1:23" x14ac:dyDescent="0.25">
      <c r="A408" s="8"/>
      <c r="B408" s="8"/>
      <c r="C408" s="8"/>
      <c r="D408" s="8"/>
      <c r="E408" s="8"/>
      <c r="F408" s="8"/>
      <c r="G408" s="8"/>
      <c r="H408" s="8"/>
      <c r="I408" s="8"/>
      <c r="J408" s="8"/>
      <c r="K408" s="8"/>
      <c r="L408" s="8"/>
      <c r="M408" s="8"/>
      <c r="N408" s="8"/>
      <c r="O408" s="8"/>
      <c r="P408" s="8"/>
      <c r="Q408" s="8"/>
      <c r="R408" s="8"/>
      <c r="S408" s="8"/>
      <c r="T408" s="8"/>
      <c r="U408" s="8"/>
      <c r="V408" s="8"/>
      <c r="W408" s="8"/>
    </row>
    <row r="409" spans="1:23" x14ac:dyDescent="0.25">
      <c r="A409" s="8"/>
      <c r="B409" s="8"/>
      <c r="C409" s="8"/>
      <c r="D409" s="8"/>
      <c r="E409" s="8"/>
      <c r="F409" s="8"/>
      <c r="G409" s="8"/>
      <c r="H409" s="8"/>
      <c r="I409" s="8"/>
      <c r="J409" s="8"/>
      <c r="K409" s="8"/>
      <c r="L409" s="8"/>
      <c r="M409" s="8"/>
      <c r="N409" s="8"/>
      <c r="O409" s="8"/>
      <c r="P409" s="8"/>
      <c r="Q409" s="8"/>
      <c r="R409" s="8"/>
      <c r="S409" s="8"/>
      <c r="T409" s="8"/>
      <c r="U409" s="8"/>
      <c r="V409" s="8"/>
      <c r="W409" s="8"/>
    </row>
    <row r="410" spans="1:23" x14ac:dyDescent="0.25">
      <c r="A410" s="8"/>
      <c r="B410" s="8"/>
      <c r="C410" s="8"/>
      <c r="D410" s="8"/>
      <c r="E410" s="8"/>
      <c r="F410" s="8"/>
      <c r="G410" s="8"/>
      <c r="H410" s="8"/>
      <c r="I410" s="8"/>
      <c r="J410" s="8"/>
      <c r="K410" s="8"/>
      <c r="L410" s="8"/>
      <c r="M410" s="8"/>
      <c r="N410" s="8"/>
      <c r="O410" s="8"/>
      <c r="P410" s="8"/>
      <c r="Q410" s="8"/>
      <c r="R410" s="8"/>
      <c r="S410" s="8"/>
      <c r="T410" s="8"/>
      <c r="U410" s="8"/>
      <c r="V410" s="8"/>
      <c r="W410" s="8"/>
    </row>
    <row r="411" spans="1:23" x14ac:dyDescent="0.25">
      <c r="A411" s="8"/>
      <c r="B411" s="8"/>
      <c r="C411" s="8"/>
      <c r="D411" s="8"/>
      <c r="E411" s="8"/>
      <c r="F411" s="8"/>
      <c r="G411" s="8"/>
      <c r="H411" s="8"/>
      <c r="I411" s="8"/>
      <c r="J411" s="8"/>
      <c r="K411" s="8"/>
      <c r="L411" s="8"/>
      <c r="M411" s="8"/>
      <c r="N411" s="8"/>
      <c r="O411" s="8"/>
      <c r="P411" s="8"/>
      <c r="Q411" s="8"/>
      <c r="R411" s="8"/>
      <c r="S411" s="8"/>
      <c r="T411" s="8"/>
      <c r="U411" s="8"/>
      <c r="V411" s="8"/>
      <c r="W411" s="8"/>
    </row>
    <row r="412" spans="1:23" x14ac:dyDescent="0.25">
      <c r="A412" s="8"/>
      <c r="B412" s="8"/>
      <c r="C412" s="8"/>
      <c r="D412" s="8"/>
      <c r="E412" s="8"/>
      <c r="F412" s="8"/>
      <c r="G412" s="8"/>
      <c r="H412" s="8"/>
      <c r="I412" s="8"/>
      <c r="J412" s="8"/>
      <c r="K412" s="8"/>
      <c r="L412" s="8"/>
      <c r="M412" s="8"/>
      <c r="N412" s="8"/>
      <c r="O412" s="8"/>
      <c r="P412" s="8"/>
      <c r="Q412" s="8"/>
      <c r="R412" s="8"/>
      <c r="S412" s="8"/>
      <c r="T412" s="8"/>
      <c r="U412" s="8"/>
      <c r="V412" s="8"/>
      <c r="W412" s="8"/>
    </row>
    <row r="413" spans="1:23" x14ac:dyDescent="0.25">
      <c r="A413" s="8"/>
      <c r="B413" s="8"/>
      <c r="C413" s="8"/>
      <c r="D413" s="8"/>
      <c r="E413" s="8"/>
      <c r="F413" s="8"/>
      <c r="G413" s="8"/>
      <c r="H413" s="8"/>
      <c r="I413" s="8"/>
      <c r="J413" s="8"/>
      <c r="K413" s="8"/>
      <c r="L413" s="8"/>
      <c r="M413" s="8"/>
      <c r="N413" s="8"/>
      <c r="O413" s="8"/>
      <c r="P413" s="8"/>
      <c r="Q413" s="8"/>
      <c r="R413" s="8"/>
      <c r="S413" s="8"/>
      <c r="T413" s="8"/>
      <c r="U413" s="8"/>
      <c r="V413" s="8"/>
      <c r="W413" s="8"/>
    </row>
    <row r="414" spans="1:23" x14ac:dyDescent="0.25">
      <c r="A414" s="8"/>
      <c r="B414" s="8"/>
      <c r="C414" s="8"/>
      <c r="D414" s="8"/>
      <c r="E414" s="8"/>
      <c r="F414" s="8"/>
      <c r="G414" s="8"/>
      <c r="H414" s="8"/>
      <c r="I414" s="8"/>
      <c r="J414" s="8"/>
      <c r="K414" s="8"/>
      <c r="L414" s="8"/>
      <c r="M414" s="8"/>
      <c r="N414" s="8"/>
      <c r="O414" s="8"/>
      <c r="P414" s="8"/>
      <c r="Q414" s="8"/>
      <c r="R414" s="8"/>
      <c r="S414" s="8"/>
      <c r="T414" s="8"/>
      <c r="U414" s="8"/>
      <c r="V414" s="8"/>
      <c r="W414" s="8"/>
    </row>
    <row r="415" spans="1:23" x14ac:dyDescent="0.25">
      <c r="A415" s="8"/>
      <c r="B415" s="8"/>
      <c r="C415" s="8"/>
      <c r="D415" s="8"/>
      <c r="E415" s="8"/>
      <c r="F415" s="8"/>
      <c r="G415" s="8"/>
      <c r="H415" s="8"/>
      <c r="I415" s="8"/>
      <c r="J415" s="8"/>
      <c r="K415" s="8"/>
      <c r="L415" s="8"/>
      <c r="M415" s="8"/>
      <c r="N415" s="8"/>
      <c r="O415" s="8"/>
      <c r="P415" s="8"/>
      <c r="Q415" s="8"/>
      <c r="R415" s="8"/>
      <c r="S415" s="8"/>
      <c r="T415" s="8"/>
      <c r="U415" s="8"/>
      <c r="V415" s="8"/>
      <c r="W415" s="8"/>
    </row>
    <row r="416" spans="1:23" x14ac:dyDescent="0.25">
      <c r="A416" s="8"/>
      <c r="B416" s="8"/>
      <c r="C416" s="8"/>
      <c r="D416" s="8"/>
      <c r="E416" s="8"/>
      <c r="F416" s="8"/>
      <c r="G416" s="8"/>
      <c r="H416" s="8"/>
      <c r="I416" s="8"/>
      <c r="J416" s="8"/>
      <c r="K416" s="8"/>
      <c r="L416" s="8"/>
      <c r="M416" s="8"/>
      <c r="N416" s="8"/>
      <c r="O416" s="8"/>
      <c r="P416" s="8"/>
      <c r="Q416" s="8"/>
      <c r="R416" s="8"/>
      <c r="S416" s="8"/>
      <c r="T416" s="8"/>
      <c r="U416" s="8"/>
      <c r="V416" s="8"/>
      <c r="W416" s="8"/>
    </row>
    <row r="417" spans="1:23" x14ac:dyDescent="0.25">
      <c r="A417" s="8"/>
      <c r="B417" s="8"/>
      <c r="C417" s="8"/>
      <c r="D417" s="8"/>
      <c r="E417" s="8"/>
      <c r="F417" s="8"/>
      <c r="G417" s="8"/>
      <c r="H417" s="8"/>
      <c r="I417" s="8"/>
      <c r="J417" s="8"/>
      <c r="K417" s="8"/>
      <c r="L417" s="8"/>
      <c r="M417" s="8"/>
      <c r="N417" s="8"/>
      <c r="O417" s="8"/>
      <c r="P417" s="8"/>
      <c r="Q417" s="8"/>
      <c r="R417" s="8"/>
      <c r="S417" s="8"/>
      <c r="T417" s="8"/>
      <c r="U417" s="8"/>
      <c r="V417" s="8"/>
      <c r="W417" s="8"/>
    </row>
    <row r="418" spans="1:23" x14ac:dyDescent="0.25">
      <c r="A418" s="8"/>
      <c r="B418" s="8"/>
      <c r="C418" s="8"/>
      <c r="D418" s="8"/>
      <c r="E418" s="8"/>
      <c r="F418" s="8"/>
      <c r="G418" s="8"/>
      <c r="H418" s="8"/>
      <c r="I418" s="8"/>
      <c r="J418" s="8"/>
      <c r="K418" s="8"/>
      <c r="L418" s="8"/>
      <c r="M418" s="8"/>
      <c r="N418" s="8"/>
      <c r="O418" s="8"/>
      <c r="P418" s="8"/>
      <c r="Q418" s="8"/>
      <c r="R418" s="8"/>
      <c r="S418" s="8"/>
      <c r="T418" s="8"/>
      <c r="U418" s="8"/>
      <c r="V418" s="8"/>
      <c r="W418" s="8"/>
    </row>
    <row r="419" spans="1:23" x14ac:dyDescent="0.25">
      <c r="A419" s="8"/>
      <c r="B419" s="8"/>
      <c r="C419" s="8"/>
      <c r="D419" s="8"/>
      <c r="E419" s="8"/>
      <c r="F419" s="8"/>
      <c r="G419" s="8"/>
      <c r="H419" s="8"/>
      <c r="I419" s="8"/>
      <c r="J419" s="8"/>
      <c r="K419" s="8"/>
      <c r="L419" s="8"/>
      <c r="M419" s="8"/>
      <c r="N419" s="8"/>
      <c r="O419" s="8"/>
      <c r="P419" s="8"/>
      <c r="Q419" s="8"/>
      <c r="R419" s="8"/>
      <c r="S419" s="8"/>
      <c r="T419" s="8"/>
      <c r="U419" s="8"/>
      <c r="V419" s="8"/>
      <c r="W419" s="8"/>
    </row>
    <row r="420" spans="1:23" x14ac:dyDescent="0.25">
      <c r="A420" s="8"/>
      <c r="B420" s="8"/>
      <c r="C420" s="8"/>
      <c r="D420" s="8"/>
      <c r="E420" s="8"/>
      <c r="F420" s="8"/>
      <c r="G420" s="8"/>
      <c r="H420" s="8"/>
      <c r="I420" s="8"/>
      <c r="J420" s="8"/>
      <c r="K420" s="8"/>
      <c r="L420" s="8"/>
      <c r="M420" s="8"/>
      <c r="N420" s="8"/>
      <c r="O420" s="8"/>
      <c r="P420" s="8"/>
      <c r="Q420" s="8"/>
      <c r="R420" s="8"/>
      <c r="S420" s="8"/>
      <c r="T420" s="8"/>
      <c r="U420" s="8"/>
      <c r="V420" s="8"/>
      <c r="W420" s="8"/>
    </row>
    <row r="421" spans="1:23" x14ac:dyDescent="0.25">
      <c r="A421" s="8"/>
      <c r="B421" s="8"/>
      <c r="C421" s="8"/>
      <c r="D421" s="8"/>
      <c r="E421" s="8"/>
      <c r="F421" s="8"/>
      <c r="G421" s="8"/>
      <c r="H421" s="8"/>
      <c r="I421" s="8"/>
      <c r="J421" s="8"/>
      <c r="K421" s="8"/>
      <c r="L421" s="8"/>
      <c r="M421" s="8"/>
      <c r="N421" s="8"/>
      <c r="O421" s="8"/>
      <c r="P421" s="8"/>
      <c r="Q421" s="8"/>
      <c r="R421" s="8"/>
      <c r="S421" s="8"/>
      <c r="T421" s="8"/>
      <c r="U421" s="8"/>
      <c r="V421" s="8"/>
      <c r="W421" s="8"/>
    </row>
    <row r="422" spans="1:23" x14ac:dyDescent="0.25">
      <c r="A422" s="8"/>
      <c r="B422" s="8"/>
      <c r="C422" s="8"/>
      <c r="D422" s="8"/>
      <c r="E422" s="8"/>
      <c r="F422" s="8"/>
      <c r="G422" s="8"/>
      <c r="H422" s="8"/>
      <c r="I422" s="8"/>
      <c r="J422" s="8"/>
      <c r="K422" s="8"/>
      <c r="L422" s="8"/>
      <c r="M422" s="8"/>
      <c r="N422" s="8"/>
      <c r="O422" s="8"/>
      <c r="P422" s="8"/>
      <c r="Q422" s="8"/>
      <c r="R422" s="8"/>
      <c r="S422" s="8"/>
      <c r="T422" s="8"/>
      <c r="U422" s="8"/>
      <c r="V422" s="8"/>
      <c r="W422" s="8"/>
    </row>
    <row r="423" spans="1:23" x14ac:dyDescent="0.25">
      <c r="A423" s="8"/>
      <c r="B423" s="8"/>
      <c r="C423" s="8"/>
      <c r="D423" s="8"/>
      <c r="E423" s="8"/>
      <c r="F423" s="8"/>
      <c r="G423" s="8"/>
      <c r="H423" s="8"/>
      <c r="I423" s="8"/>
      <c r="J423" s="8"/>
      <c r="K423" s="8"/>
      <c r="L423" s="8"/>
      <c r="M423" s="8"/>
      <c r="N423" s="8"/>
      <c r="O423" s="8"/>
      <c r="P423" s="8"/>
      <c r="Q423" s="8"/>
      <c r="R423" s="8"/>
      <c r="S423" s="8"/>
      <c r="T423" s="8"/>
      <c r="U423" s="8"/>
      <c r="V423" s="8"/>
      <c r="W423" s="8"/>
    </row>
    <row r="424" spans="1:23" x14ac:dyDescent="0.25">
      <c r="A424" s="8"/>
      <c r="B424" s="8"/>
      <c r="C424" s="8"/>
      <c r="D424" s="8"/>
      <c r="E424" s="8"/>
      <c r="F424" s="8"/>
      <c r="G424" s="8"/>
      <c r="H424" s="8"/>
      <c r="I424" s="8"/>
      <c r="J424" s="8"/>
      <c r="K424" s="8"/>
      <c r="L424" s="8"/>
      <c r="M424" s="8"/>
      <c r="N424" s="8"/>
      <c r="O424" s="8"/>
      <c r="P424" s="8"/>
      <c r="Q424" s="8"/>
      <c r="R424" s="8"/>
      <c r="S424" s="8"/>
      <c r="T424" s="8"/>
      <c r="U424" s="8"/>
      <c r="V424" s="8"/>
      <c r="W424" s="8"/>
    </row>
    <row r="425" spans="1:23" x14ac:dyDescent="0.25">
      <c r="A425" s="8"/>
      <c r="B425" s="8"/>
      <c r="C425" s="8"/>
      <c r="D425" s="8"/>
      <c r="E425" s="8"/>
      <c r="F425" s="8"/>
      <c r="G425" s="8"/>
      <c r="H425" s="8"/>
      <c r="I425" s="8"/>
      <c r="J425" s="8"/>
      <c r="K425" s="8"/>
      <c r="L425" s="8"/>
      <c r="M425" s="8"/>
      <c r="N425" s="8"/>
      <c r="O425" s="8"/>
      <c r="P425" s="8"/>
      <c r="Q425" s="8"/>
      <c r="R425" s="8"/>
      <c r="S425" s="8"/>
      <c r="T425" s="8"/>
      <c r="U425" s="8"/>
      <c r="V425" s="8"/>
      <c r="W425" s="8"/>
    </row>
    <row r="426" spans="1:23" x14ac:dyDescent="0.25">
      <c r="A426" s="8"/>
      <c r="B426" s="8"/>
      <c r="C426" s="8"/>
      <c r="D426" s="8"/>
      <c r="E426" s="8"/>
      <c r="F426" s="8"/>
      <c r="G426" s="8"/>
      <c r="H426" s="8"/>
      <c r="I426" s="8"/>
      <c r="J426" s="8"/>
      <c r="K426" s="8"/>
      <c r="L426" s="8"/>
      <c r="M426" s="8"/>
      <c r="N426" s="8"/>
      <c r="O426" s="8"/>
      <c r="P426" s="8"/>
      <c r="Q426" s="8"/>
      <c r="R426" s="8"/>
      <c r="S426" s="8"/>
      <c r="T426" s="8"/>
      <c r="U426" s="8"/>
      <c r="V426" s="8"/>
      <c r="W426" s="8"/>
    </row>
    <row r="427" spans="1:23" x14ac:dyDescent="0.25">
      <c r="A427" s="8"/>
      <c r="B427" s="8"/>
      <c r="C427" s="8"/>
      <c r="D427" s="8"/>
      <c r="E427" s="8"/>
      <c r="F427" s="8"/>
      <c r="G427" s="8"/>
      <c r="H427" s="8"/>
      <c r="I427" s="8"/>
      <c r="J427" s="8"/>
      <c r="K427" s="8"/>
      <c r="L427" s="8"/>
      <c r="M427" s="8"/>
      <c r="N427" s="8"/>
      <c r="O427" s="8"/>
      <c r="P427" s="8"/>
      <c r="Q427" s="8"/>
      <c r="R427" s="8"/>
      <c r="S427" s="8"/>
      <c r="T427" s="8"/>
      <c r="U427" s="8"/>
      <c r="V427" s="8"/>
      <c r="W427" s="8"/>
    </row>
    <row r="428" spans="1:23" x14ac:dyDescent="0.25">
      <c r="A428" s="8"/>
      <c r="B428" s="8"/>
      <c r="C428" s="8"/>
      <c r="D428" s="8"/>
      <c r="E428" s="8"/>
      <c r="F428" s="8"/>
      <c r="G428" s="8"/>
      <c r="H428" s="8"/>
      <c r="I428" s="8"/>
      <c r="J428" s="8"/>
      <c r="K428" s="8"/>
      <c r="L428" s="8"/>
      <c r="M428" s="8"/>
      <c r="N428" s="8"/>
      <c r="O428" s="8"/>
      <c r="P428" s="8"/>
      <c r="Q428" s="8"/>
      <c r="R428" s="8"/>
      <c r="S428" s="8"/>
      <c r="T428" s="8"/>
      <c r="U428" s="8"/>
      <c r="V428" s="8"/>
      <c r="W428" s="8"/>
    </row>
    <row r="429" spans="1:23" x14ac:dyDescent="0.25">
      <c r="A429" s="8"/>
      <c r="B429" s="8"/>
      <c r="C429" s="8"/>
      <c r="D429" s="8"/>
      <c r="E429" s="8"/>
      <c r="F429" s="8"/>
      <c r="G429" s="8"/>
      <c r="H429" s="8"/>
      <c r="I429" s="8"/>
      <c r="J429" s="8"/>
      <c r="K429" s="8"/>
      <c r="L429" s="8"/>
      <c r="M429" s="8"/>
      <c r="N429" s="8"/>
      <c r="O429" s="8"/>
      <c r="P429" s="8"/>
      <c r="Q429" s="8"/>
      <c r="R429" s="8"/>
      <c r="S429" s="8"/>
      <c r="T429" s="8"/>
      <c r="U429" s="8"/>
      <c r="V429" s="8"/>
      <c r="W429" s="8"/>
    </row>
    <row r="430" spans="1:23" x14ac:dyDescent="0.25">
      <c r="A430" s="8"/>
      <c r="B430" s="8"/>
      <c r="C430" s="8"/>
      <c r="D430" s="8"/>
      <c r="E430" s="8"/>
      <c r="F430" s="8"/>
      <c r="G430" s="8"/>
      <c r="H430" s="8"/>
      <c r="I430" s="8"/>
      <c r="J430" s="8"/>
      <c r="K430" s="8"/>
      <c r="L430" s="8"/>
      <c r="M430" s="8"/>
      <c r="N430" s="8"/>
      <c r="O430" s="8"/>
      <c r="P430" s="8"/>
      <c r="Q430" s="8"/>
      <c r="R430" s="8"/>
      <c r="S430" s="8"/>
      <c r="T430" s="8"/>
      <c r="U430" s="8"/>
      <c r="V430" s="8"/>
      <c r="W430" s="8"/>
    </row>
    <row r="431" spans="1:23" x14ac:dyDescent="0.25">
      <c r="A431" s="8"/>
      <c r="B431" s="8"/>
      <c r="C431" s="8"/>
      <c r="D431" s="8"/>
      <c r="E431" s="8"/>
      <c r="F431" s="8"/>
      <c r="G431" s="8"/>
      <c r="H431" s="8"/>
      <c r="I431" s="8"/>
      <c r="J431" s="8"/>
      <c r="K431" s="8"/>
      <c r="L431" s="8"/>
      <c r="M431" s="8"/>
      <c r="N431" s="8"/>
      <c r="O431" s="8"/>
      <c r="P431" s="8"/>
      <c r="Q431" s="8"/>
      <c r="R431" s="8"/>
      <c r="S431" s="8"/>
      <c r="T431" s="8"/>
      <c r="U431" s="8"/>
      <c r="V431" s="8"/>
      <c r="W431" s="8"/>
    </row>
    <row r="432" spans="1:23" x14ac:dyDescent="0.25">
      <c r="A432" s="8"/>
      <c r="B432" s="8"/>
      <c r="C432" s="8"/>
      <c r="D432" s="8"/>
      <c r="E432" s="8"/>
      <c r="F432" s="8"/>
      <c r="G432" s="8"/>
      <c r="H432" s="8"/>
      <c r="I432" s="8"/>
      <c r="J432" s="8"/>
      <c r="K432" s="8"/>
      <c r="L432" s="8"/>
      <c r="M432" s="8"/>
      <c r="N432" s="8"/>
      <c r="O432" s="8"/>
      <c r="P432" s="8"/>
      <c r="Q432" s="8"/>
      <c r="R432" s="8"/>
      <c r="S432" s="8"/>
      <c r="T432" s="8"/>
      <c r="U432" s="8"/>
      <c r="V432" s="8"/>
      <c r="W432" s="8"/>
    </row>
    <row r="433" spans="1:23" x14ac:dyDescent="0.25">
      <c r="A433" s="8"/>
      <c r="B433" s="8"/>
      <c r="C433" s="8"/>
      <c r="D433" s="8"/>
      <c r="E433" s="8"/>
      <c r="F433" s="8"/>
      <c r="G433" s="8"/>
      <c r="H433" s="8"/>
      <c r="I433" s="8"/>
      <c r="J433" s="8"/>
      <c r="K433" s="8"/>
      <c r="L433" s="8"/>
      <c r="M433" s="8"/>
      <c r="N433" s="8"/>
      <c r="O433" s="8"/>
      <c r="P433" s="8"/>
      <c r="Q433" s="8"/>
      <c r="R433" s="8"/>
      <c r="S433" s="8"/>
      <c r="T433" s="8"/>
      <c r="U433" s="8"/>
      <c r="V433" s="8"/>
      <c r="W433" s="8"/>
    </row>
    <row r="434" spans="1:23" x14ac:dyDescent="0.25">
      <c r="A434" s="8"/>
      <c r="B434" s="8"/>
      <c r="C434" s="8"/>
      <c r="D434" s="8"/>
      <c r="E434" s="8"/>
      <c r="F434" s="8"/>
      <c r="G434" s="8"/>
      <c r="H434" s="8"/>
      <c r="I434" s="8"/>
      <c r="J434" s="8"/>
      <c r="K434" s="8"/>
      <c r="L434" s="8"/>
      <c r="M434" s="8"/>
      <c r="N434" s="8"/>
      <c r="O434" s="8"/>
      <c r="P434" s="8"/>
      <c r="Q434" s="8"/>
      <c r="R434" s="8"/>
      <c r="S434" s="8"/>
      <c r="T434" s="8"/>
      <c r="U434" s="8"/>
      <c r="V434" s="8"/>
      <c r="W434" s="8"/>
    </row>
    <row r="435" spans="1:23" x14ac:dyDescent="0.25">
      <c r="A435" s="8"/>
      <c r="B435" s="8"/>
      <c r="C435" s="8"/>
      <c r="D435" s="8"/>
      <c r="E435" s="8"/>
      <c r="F435" s="8"/>
      <c r="G435" s="8"/>
      <c r="H435" s="8"/>
      <c r="I435" s="8"/>
      <c r="J435" s="8"/>
      <c r="K435" s="8"/>
      <c r="L435" s="8"/>
      <c r="M435" s="8"/>
      <c r="N435" s="8"/>
      <c r="O435" s="8"/>
      <c r="P435" s="8"/>
      <c r="Q435" s="8"/>
      <c r="R435" s="8"/>
      <c r="S435" s="8"/>
      <c r="T435" s="8"/>
      <c r="U435" s="8"/>
      <c r="V435" s="8"/>
      <c r="W435" s="8"/>
    </row>
    <row r="436" spans="1:23" x14ac:dyDescent="0.25">
      <c r="A436" s="8"/>
      <c r="B436" s="8"/>
      <c r="C436" s="8"/>
      <c r="D436" s="8"/>
      <c r="E436" s="8"/>
      <c r="F436" s="8"/>
      <c r="G436" s="8"/>
      <c r="H436" s="8"/>
      <c r="I436" s="8"/>
      <c r="J436" s="8"/>
      <c r="K436" s="8"/>
      <c r="L436" s="8"/>
      <c r="M436" s="8"/>
      <c r="N436" s="8"/>
      <c r="O436" s="8"/>
      <c r="P436" s="8"/>
      <c r="Q436" s="8"/>
      <c r="R436" s="8"/>
      <c r="S436" s="8"/>
      <c r="T436" s="8"/>
      <c r="U436" s="8"/>
      <c r="V436" s="8"/>
      <c r="W436" s="8"/>
    </row>
    <row r="437" spans="1:23" x14ac:dyDescent="0.25">
      <c r="A437" s="8"/>
      <c r="B437" s="8"/>
      <c r="C437" s="8"/>
      <c r="D437" s="8"/>
      <c r="E437" s="8"/>
      <c r="F437" s="8"/>
      <c r="G437" s="8"/>
      <c r="H437" s="8"/>
      <c r="I437" s="8"/>
      <c r="J437" s="8"/>
      <c r="K437" s="8"/>
      <c r="L437" s="8"/>
      <c r="M437" s="8"/>
      <c r="N437" s="8"/>
      <c r="O437" s="8"/>
      <c r="P437" s="8"/>
      <c r="Q437" s="8"/>
      <c r="R437" s="8"/>
      <c r="S437" s="8"/>
      <c r="T437" s="8"/>
      <c r="U437" s="8"/>
      <c r="V437" s="8"/>
      <c r="W437" s="8"/>
    </row>
    <row r="438" spans="1:23" x14ac:dyDescent="0.25">
      <c r="A438" s="8"/>
      <c r="B438" s="8"/>
      <c r="C438" s="8"/>
      <c r="D438" s="8"/>
      <c r="E438" s="8"/>
      <c r="F438" s="8"/>
      <c r="G438" s="8"/>
      <c r="H438" s="8"/>
      <c r="I438" s="8"/>
      <c r="J438" s="8"/>
      <c r="K438" s="8"/>
      <c r="L438" s="8"/>
      <c r="M438" s="8"/>
      <c r="N438" s="8"/>
      <c r="O438" s="8"/>
      <c r="P438" s="8"/>
      <c r="Q438" s="8"/>
      <c r="R438" s="8"/>
      <c r="S438" s="8"/>
      <c r="T438" s="8"/>
      <c r="U438" s="8"/>
      <c r="V438" s="8"/>
      <c r="W438" s="8"/>
    </row>
    <row r="439" spans="1:23" x14ac:dyDescent="0.25">
      <c r="A439" s="8"/>
      <c r="B439" s="8"/>
      <c r="C439" s="8"/>
      <c r="D439" s="8"/>
      <c r="E439" s="8"/>
      <c r="F439" s="8"/>
      <c r="G439" s="8"/>
      <c r="H439" s="8"/>
      <c r="I439" s="8"/>
      <c r="J439" s="8"/>
      <c r="K439" s="8"/>
      <c r="L439" s="8"/>
      <c r="M439" s="8"/>
      <c r="N439" s="8"/>
      <c r="O439" s="8"/>
      <c r="P439" s="8"/>
      <c r="Q439" s="8"/>
      <c r="R439" s="8"/>
      <c r="S439" s="8"/>
      <c r="T439" s="8"/>
      <c r="U439" s="8"/>
      <c r="V439" s="8"/>
      <c r="W439" s="8"/>
    </row>
    <row r="440" spans="1:23" x14ac:dyDescent="0.25">
      <c r="A440" s="8"/>
      <c r="B440" s="8"/>
      <c r="C440" s="8"/>
      <c r="D440" s="8"/>
      <c r="E440" s="8"/>
      <c r="F440" s="8"/>
      <c r="G440" s="8"/>
      <c r="H440" s="8"/>
      <c r="I440" s="8"/>
      <c r="J440" s="8"/>
      <c r="K440" s="8"/>
      <c r="L440" s="8"/>
      <c r="M440" s="8"/>
      <c r="N440" s="8"/>
      <c r="O440" s="8"/>
      <c r="P440" s="8"/>
      <c r="Q440" s="8"/>
      <c r="R440" s="8"/>
      <c r="S440" s="8"/>
      <c r="T440" s="8"/>
      <c r="U440" s="8"/>
      <c r="V440" s="8"/>
      <c r="W440" s="8"/>
    </row>
    <row r="441" spans="1:23" x14ac:dyDescent="0.25">
      <c r="A441" s="8"/>
      <c r="B441" s="8"/>
      <c r="C441" s="8"/>
      <c r="D441" s="8"/>
      <c r="E441" s="8"/>
      <c r="F441" s="8"/>
      <c r="G441" s="8"/>
      <c r="H441" s="8"/>
      <c r="I441" s="8"/>
      <c r="J441" s="8"/>
      <c r="K441" s="8"/>
      <c r="L441" s="8"/>
      <c r="M441" s="8"/>
      <c r="N441" s="8"/>
      <c r="O441" s="8"/>
      <c r="P441" s="8"/>
      <c r="Q441" s="8"/>
      <c r="R441" s="8"/>
      <c r="S441" s="8"/>
      <c r="T441" s="8"/>
      <c r="U441" s="8"/>
      <c r="V441" s="8"/>
      <c r="W441" s="8"/>
    </row>
    <row r="442" spans="1:23" x14ac:dyDescent="0.25">
      <c r="A442" s="8"/>
      <c r="B442" s="8"/>
      <c r="C442" s="8"/>
      <c r="D442" s="8"/>
      <c r="E442" s="8"/>
      <c r="F442" s="8"/>
      <c r="G442" s="8"/>
      <c r="H442" s="8"/>
      <c r="I442" s="8"/>
      <c r="J442" s="8"/>
      <c r="K442" s="8"/>
      <c r="L442" s="8"/>
      <c r="M442" s="8"/>
      <c r="N442" s="8"/>
      <c r="O442" s="8"/>
      <c r="P442" s="8"/>
      <c r="Q442" s="8"/>
      <c r="R442" s="8"/>
      <c r="S442" s="8"/>
      <c r="T442" s="8"/>
      <c r="U442" s="8"/>
      <c r="V442" s="8"/>
      <c r="W442" s="8"/>
    </row>
    <row r="443" spans="1:23" x14ac:dyDescent="0.25">
      <c r="A443" s="8"/>
      <c r="B443" s="8"/>
      <c r="C443" s="8"/>
      <c r="D443" s="8"/>
      <c r="E443" s="8"/>
      <c r="F443" s="8"/>
      <c r="G443" s="8"/>
      <c r="H443" s="8"/>
      <c r="I443" s="8"/>
      <c r="J443" s="8"/>
      <c r="K443" s="8"/>
      <c r="L443" s="8"/>
      <c r="M443" s="8"/>
      <c r="N443" s="8"/>
      <c r="O443" s="8"/>
      <c r="P443" s="8"/>
      <c r="Q443" s="8"/>
      <c r="R443" s="8"/>
      <c r="S443" s="8"/>
      <c r="T443" s="8"/>
      <c r="U443" s="8"/>
      <c r="V443" s="8"/>
      <c r="W443" s="8"/>
    </row>
    <row r="444" spans="1:23" x14ac:dyDescent="0.25">
      <c r="A444" s="8"/>
      <c r="B444" s="8"/>
      <c r="C444" s="8"/>
      <c r="D444" s="8"/>
      <c r="E444" s="8"/>
      <c r="F444" s="8"/>
      <c r="G444" s="8"/>
      <c r="H444" s="8"/>
      <c r="I444" s="8"/>
      <c r="J444" s="8"/>
      <c r="K444" s="8"/>
      <c r="L444" s="8"/>
      <c r="M444" s="8"/>
      <c r="N444" s="8"/>
      <c r="O444" s="8"/>
      <c r="P444" s="8"/>
      <c r="Q444" s="8"/>
      <c r="R444" s="8"/>
      <c r="S444" s="8"/>
      <c r="T444" s="8"/>
      <c r="U444" s="8"/>
      <c r="V444" s="8"/>
      <c r="W444" s="8"/>
    </row>
    <row r="445" spans="1:23" x14ac:dyDescent="0.25">
      <c r="A445" s="8"/>
      <c r="B445" s="8"/>
      <c r="C445" s="8"/>
      <c r="D445" s="8"/>
      <c r="E445" s="8"/>
      <c r="F445" s="8"/>
      <c r="G445" s="8"/>
      <c r="H445" s="8"/>
      <c r="I445" s="8"/>
      <c r="J445" s="8"/>
      <c r="K445" s="8"/>
      <c r="L445" s="8"/>
      <c r="M445" s="8"/>
      <c r="N445" s="8"/>
      <c r="O445" s="8"/>
      <c r="P445" s="8"/>
      <c r="Q445" s="8"/>
      <c r="R445" s="8"/>
      <c r="S445" s="8"/>
      <c r="T445" s="8"/>
      <c r="U445" s="8"/>
      <c r="V445" s="8"/>
      <c r="W445" s="8"/>
    </row>
    <row r="446" spans="1:23" x14ac:dyDescent="0.25">
      <c r="A446" s="8"/>
      <c r="B446" s="8"/>
      <c r="C446" s="8"/>
      <c r="D446" s="8"/>
      <c r="E446" s="8"/>
      <c r="F446" s="8"/>
      <c r="G446" s="8"/>
      <c r="H446" s="8"/>
      <c r="I446" s="8"/>
      <c r="J446" s="8"/>
      <c r="K446" s="8"/>
      <c r="L446" s="8"/>
      <c r="M446" s="8"/>
      <c r="N446" s="8"/>
      <c r="O446" s="8"/>
      <c r="P446" s="8"/>
      <c r="Q446" s="8"/>
      <c r="R446" s="8"/>
      <c r="S446" s="8"/>
      <c r="T446" s="8"/>
      <c r="U446" s="8"/>
      <c r="V446" s="8"/>
      <c r="W446" s="8"/>
    </row>
    <row r="447" spans="1:23" x14ac:dyDescent="0.25">
      <c r="A447" s="8"/>
      <c r="B447" s="8"/>
      <c r="C447" s="8"/>
      <c r="D447" s="8"/>
      <c r="E447" s="8"/>
      <c r="F447" s="8"/>
      <c r="G447" s="8"/>
      <c r="H447" s="8"/>
      <c r="I447" s="8"/>
      <c r="J447" s="8"/>
      <c r="K447" s="8"/>
      <c r="L447" s="8"/>
      <c r="M447" s="8"/>
      <c r="N447" s="8"/>
      <c r="O447" s="8"/>
      <c r="P447" s="8"/>
      <c r="Q447" s="8"/>
      <c r="R447" s="8"/>
      <c r="S447" s="8"/>
      <c r="T447" s="8"/>
      <c r="U447" s="8"/>
      <c r="V447" s="8"/>
      <c r="W447" s="8"/>
    </row>
    <row r="448" spans="1:23" x14ac:dyDescent="0.25">
      <c r="A448" s="8"/>
      <c r="B448" s="8"/>
      <c r="C448" s="8"/>
      <c r="D448" s="8"/>
      <c r="E448" s="8"/>
      <c r="F448" s="8"/>
      <c r="G448" s="8"/>
      <c r="H448" s="8"/>
      <c r="I448" s="8"/>
      <c r="J448" s="8"/>
      <c r="K448" s="8"/>
      <c r="L448" s="8"/>
      <c r="M448" s="8"/>
      <c r="N448" s="8"/>
      <c r="O448" s="8"/>
      <c r="P448" s="8"/>
      <c r="Q448" s="8"/>
      <c r="R448" s="8"/>
      <c r="S448" s="8"/>
      <c r="T448" s="8"/>
      <c r="U448" s="8"/>
      <c r="V448" s="8"/>
      <c r="W448" s="8"/>
    </row>
    <row r="449" spans="1:23" x14ac:dyDescent="0.25">
      <c r="A449" s="8"/>
      <c r="B449" s="8"/>
      <c r="C449" s="8"/>
      <c r="D449" s="8"/>
      <c r="E449" s="8"/>
      <c r="F449" s="8"/>
      <c r="G449" s="8"/>
      <c r="H449" s="8"/>
      <c r="I449" s="8"/>
      <c r="J449" s="8"/>
      <c r="K449" s="8"/>
      <c r="L449" s="8"/>
      <c r="M449" s="8"/>
      <c r="N449" s="8"/>
      <c r="O449" s="8"/>
      <c r="P449" s="8"/>
      <c r="Q449" s="8"/>
      <c r="R449" s="8"/>
      <c r="S449" s="8"/>
      <c r="T449" s="8"/>
      <c r="U449" s="8"/>
      <c r="V449" s="8"/>
      <c r="W449" s="8"/>
    </row>
    <row r="450" spans="1:23" x14ac:dyDescent="0.25">
      <c r="A450" s="8"/>
      <c r="B450" s="8"/>
      <c r="C450" s="8"/>
      <c r="D450" s="8"/>
      <c r="E450" s="8"/>
      <c r="F450" s="8"/>
      <c r="G450" s="8"/>
      <c r="H450" s="8"/>
      <c r="I450" s="8"/>
      <c r="J450" s="8"/>
      <c r="K450" s="8"/>
      <c r="L450" s="8"/>
      <c r="M450" s="8"/>
      <c r="N450" s="8"/>
      <c r="O450" s="8"/>
      <c r="P450" s="8"/>
      <c r="Q450" s="8"/>
      <c r="R450" s="8"/>
      <c r="S450" s="8"/>
      <c r="T450" s="8"/>
      <c r="U450" s="8"/>
      <c r="V450" s="8"/>
      <c r="W450" s="8"/>
    </row>
    <row r="451" spans="1:23" x14ac:dyDescent="0.25">
      <c r="A451" s="8"/>
      <c r="B451" s="8"/>
      <c r="C451" s="8"/>
      <c r="D451" s="8"/>
      <c r="E451" s="8"/>
      <c r="F451" s="8"/>
      <c r="G451" s="8"/>
      <c r="H451" s="8"/>
      <c r="I451" s="8"/>
      <c r="J451" s="8"/>
      <c r="K451" s="8"/>
      <c r="L451" s="8"/>
      <c r="M451" s="8"/>
      <c r="N451" s="8"/>
      <c r="O451" s="8"/>
      <c r="P451" s="8"/>
      <c r="Q451" s="8"/>
      <c r="R451" s="8"/>
      <c r="S451" s="8"/>
      <c r="T451" s="8"/>
      <c r="U451" s="8"/>
      <c r="V451" s="8"/>
      <c r="W451" s="8"/>
    </row>
    <row r="452" spans="1:23" x14ac:dyDescent="0.25">
      <c r="A452" s="8"/>
      <c r="B452" s="8"/>
      <c r="C452" s="8"/>
      <c r="D452" s="8"/>
      <c r="E452" s="8"/>
      <c r="F452" s="8"/>
      <c r="G452" s="8"/>
      <c r="H452" s="8"/>
      <c r="I452" s="8"/>
      <c r="J452" s="8"/>
      <c r="K452" s="8"/>
      <c r="L452" s="8"/>
      <c r="M452" s="8"/>
      <c r="N452" s="8"/>
      <c r="O452" s="8"/>
      <c r="P452" s="8"/>
      <c r="Q452" s="8"/>
      <c r="R452" s="8"/>
      <c r="S452" s="8"/>
      <c r="T452" s="8"/>
      <c r="U452" s="8"/>
      <c r="V452" s="8"/>
      <c r="W452" s="8"/>
    </row>
    <row r="453" spans="1:23" x14ac:dyDescent="0.25">
      <c r="A453" s="8"/>
      <c r="B453" s="8"/>
      <c r="C453" s="8"/>
      <c r="D453" s="8"/>
      <c r="E453" s="8"/>
      <c r="F453" s="8"/>
      <c r="G453" s="8"/>
      <c r="H453" s="8"/>
      <c r="I453" s="8"/>
      <c r="J453" s="8"/>
      <c r="K453" s="8"/>
      <c r="L453" s="8"/>
      <c r="M453" s="8"/>
      <c r="N453" s="8"/>
      <c r="O453" s="8"/>
      <c r="P453" s="8"/>
      <c r="Q453" s="8"/>
      <c r="R453" s="8"/>
      <c r="S453" s="8"/>
      <c r="T453" s="8"/>
      <c r="U453" s="8"/>
      <c r="V453" s="8"/>
      <c r="W453" s="8"/>
    </row>
    <row r="454" spans="1:23" x14ac:dyDescent="0.25">
      <c r="A454" s="8"/>
      <c r="B454" s="8"/>
      <c r="C454" s="8"/>
      <c r="D454" s="8"/>
      <c r="E454" s="8"/>
      <c r="F454" s="8"/>
      <c r="G454" s="8"/>
      <c r="H454" s="8"/>
      <c r="I454" s="8"/>
      <c r="J454" s="8"/>
      <c r="K454" s="8"/>
      <c r="L454" s="8"/>
      <c r="M454" s="8"/>
      <c r="N454" s="8"/>
      <c r="O454" s="8"/>
      <c r="P454" s="8"/>
      <c r="Q454" s="8"/>
      <c r="R454" s="8"/>
      <c r="S454" s="8"/>
      <c r="T454" s="8"/>
      <c r="U454" s="8"/>
      <c r="V454" s="8"/>
      <c r="W454" s="8"/>
    </row>
    <row r="455" spans="1:23" x14ac:dyDescent="0.25">
      <c r="A455" s="8"/>
      <c r="B455" s="8"/>
      <c r="C455" s="8"/>
      <c r="D455" s="8"/>
      <c r="E455" s="8"/>
      <c r="F455" s="8"/>
      <c r="G455" s="8"/>
      <c r="H455" s="8"/>
      <c r="I455" s="8"/>
      <c r="J455" s="8"/>
      <c r="K455" s="8"/>
      <c r="L455" s="8"/>
      <c r="M455" s="8"/>
      <c r="N455" s="8"/>
      <c r="O455" s="8"/>
      <c r="P455" s="8"/>
      <c r="Q455" s="8"/>
      <c r="R455" s="8"/>
      <c r="S455" s="8"/>
      <c r="T455" s="8"/>
      <c r="U455" s="8"/>
      <c r="V455" s="8"/>
      <c r="W455" s="8"/>
    </row>
    <row r="456" spans="1:23" x14ac:dyDescent="0.25">
      <c r="A456" s="8"/>
      <c r="B456" s="8"/>
      <c r="C456" s="8"/>
      <c r="D456" s="8"/>
      <c r="E456" s="8"/>
      <c r="F456" s="8"/>
      <c r="G456" s="8"/>
      <c r="H456" s="8"/>
      <c r="I456" s="8"/>
      <c r="J456" s="8"/>
      <c r="K456" s="8"/>
      <c r="L456" s="8"/>
      <c r="M456" s="8"/>
      <c r="N456" s="8"/>
      <c r="O456" s="8"/>
      <c r="P456" s="8"/>
      <c r="Q456" s="8"/>
      <c r="R456" s="8"/>
      <c r="S456" s="8"/>
      <c r="T456" s="8"/>
      <c r="U456" s="8"/>
      <c r="V456" s="8"/>
      <c r="W456" s="8"/>
    </row>
    <row r="457" spans="1:23" x14ac:dyDescent="0.25">
      <c r="A457" s="8"/>
      <c r="B457" s="8"/>
      <c r="C457" s="8"/>
      <c r="D457" s="8"/>
      <c r="E457" s="8"/>
      <c r="F457" s="8"/>
      <c r="G457" s="8"/>
      <c r="H457" s="8"/>
      <c r="I457" s="8"/>
      <c r="J457" s="8"/>
      <c r="K457" s="8"/>
      <c r="L457" s="8"/>
      <c r="M457" s="8"/>
      <c r="N457" s="8"/>
      <c r="O457" s="8"/>
      <c r="P457" s="8"/>
      <c r="Q457" s="8"/>
      <c r="R457" s="8"/>
      <c r="S457" s="8"/>
      <c r="T457" s="8"/>
      <c r="U457" s="8"/>
      <c r="V457" s="8"/>
      <c r="W457" s="8"/>
    </row>
    <row r="458" spans="1:23" x14ac:dyDescent="0.25">
      <c r="A458" s="8"/>
      <c r="B458" s="8"/>
      <c r="C458" s="8"/>
      <c r="D458" s="8"/>
      <c r="E458" s="8"/>
      <c r="F458" s="8"/>
      <c r="G458" s="8"/>
      <c r="H458" s="8"/>
      <c r="I458" s="8"/>
      <c r="J458" s="8"/>
      <c r="K458" s="8"/>
      <c r="L458" s="8"/>
      <c r="M458" s="8"/>
      <c r="N458" s="8"/>
      <c r="O458" s="8"/>
      <c r="P458" s="8"/>
      <c r="Q458" s="8"/>
      <c r="R458" s="8"/>
      <c r="S458" s="8"/>
      <c r="T458" s="8"/>
      <c r="U458" s="8"/>
      <c r="V458" s="8"/>
      <c r="W458" s="8"/>
    </row>
    <row r="459" spans="1:23" x14ac:dyDescent="0.25">
      <c r="A459" s="8"/>
      <c r="B459" s="8"/>
      <c r="C459" s="8"/>
      <c r="D459" s="8"/>
      <c r="E459" s="8"/>
      <c r="F459" s="8"/>
      <c r="G459" s="8"/>
      <c r="H459" s="8"/>
      <c r="I459" s="8"/>
      <c r="J459" s="8"/>
      <c r="K459" s="8"/>
      <c r="L459" s="8"/>
      <c r="M459" s="8"/>
      <c r="N459" s="8"/>
      <c r="O459" s="8"/>
      <c r="P459" s="8"/>
      <c r="Q459" s="8"/>
      <c r="R459" s="8"/>
      <c r="S459" s="8"/>
      <c r="T459" s="8"/>
      <c r="U459" s="8"/>
      <c r="V459" s="8"/>
      <c r="W459" s="8"/>
    </row>
    <row r="460" spans="1:23" x14ac:dyDescent="0.25">
      <c r="A460" s="8"/>
      <c r="B460" s="8"/>
      <c r="C460" s="8"/>
      <c r="D460" s="8"/>
      <c r="E460" s="8"/>
      <c r="F460" s="8"/>
      <c r="G460" s="8"/>
      <c r="H460" s="8"/>
      <c r="I460" s="8"/>
      <c r="J460" s="8"/>
      <c r="K460" s="8"/>
      <c r="L460" s="8"/>
      <c r="M460" s="8"/>
      <c r="N460" s="8"/>
      <c r="O460" s="8"/>
      <c r="P460" s="8"/>
      <c r="Q460" s="8"/>
      <c r="R460" s="8"/>
      <c r="S460" s="8"/>
      <c r="T460" s="8"/>
      <c r="U460" s="8"/>
      <c r="V460" s="8"/>
      <c r="W460" s="8"/>
    </row>
    <row r="461" spans="1:23" x14ac:dyDescent="0.25">
      <c r="A461" s="8"/>
      <c r="B461" s="8"/>
      <c r="C461" s="8"/>
      <c r="D461" s="8"/>
      <c r="E461" s="8"/>
      <c r="F461" s="8"/>
      <c r="G461" s="8"/>
      <c r="H461" s="8"/>
      <c r="I461" s="8"/>
      <c r="J461" s="8"/>
      <c r="K461" s="8"/>
      <c r="L461" s="8"/>
      <c r="M461" s="8"/>
      <c r="N461" s="8"/>
      <c r="O461" s="8"/>
      <c r="P461" s="8"/>
      <c r="Q461" s="8"/>
      <c r="R461" s="8"/>
      <c r="S461" s="8"/>
      <c r="T461" s="8"/>
      <c r="U461" s="8"/>
      <c r="V461" s="8"/>
      <c r="W461" s="8"/>
    </row>
    <row r="462" spans="1:23" x14ac:dyDescent="0.25">
      <c r="A462" s="8"/>
      <c r="B462" s="8"/>
      <c r="C462" s="8"/>
      <c r="D462" s="8"/>
      <c r="E462" s="8"/>
      <c r="F462" s="8"/>
      <c r="G462" s="8"/>
      <c r="H462" s="8"/>
      <c r="I462" s="8"/>
      <c r="J462" s="8"/>
      <c r="K462" s="8"/>
      <c r="L462" s="8"/>
      <c r="M462" s="8"/>
      <c r="N462" s="8"/>
      <c r="O462" s="8"/>
      <c r="P462" s="8"/>
      <c r="Q462" s="8"/>
      <c r="R462" s="8"/>
      <c r="S462" s="8"/>
      <c r="T462" s="8"/>
      <c r="U462" s="8"/>
      <c r="V462" s="8"/>
      <c r="W462" s="8"/>
    </row>
    <row r="463" spans="1:23" x14ac:dyDescent="0.25">
      <c r="A463" s="8"/>
      <c r="B463" s="8"/>
      <c r="C463" s="8"/>
      <c r="D463" s="8"/>
      <c r="E463" s="8"/>
      <c r="F463" s="8"/>
      <c r="G463" s="8"/>
      <c r="H463" s="8"/>
      <c r="I463" s="8"/>
      <c r="J463" s="8"/>
      <c r="K463" s="8"/>
      <c r="L463" s="8"/>
      <c r="M463" s="8"/>
      <c r="N463" s="8"/>
      <c r="O463" s="8"/>
      <c r="P463" s="8"/>
      <c r="Q463" s="8"/>
      <c r="R463" s="8"/>
      <c r="S463" s="8"/>
      <c r="T463" s="8"/>
      <c r="U463" s="8"/>
      <c r="V463" s="8"/>
      <c r="W463" s="8"/>
    </row>
    <row r="464" spans="1:23" x14ac:dyDescent="0.25">
      <c r="A464" s="8"/>
      <c r="B464" s="8"/>
      <c r="C464" s="8"/>
      <c r="D464" s="8"/>
      <c r="E464" s="8"/>
      <c r="F464" s="8"/>
      <c r="G464" s="8"/>
      <c r="H464" s="8"/>
      <c r="I464" s="8"/>
      <c r="J464" s="8"/>
      <c r="K464" s="8"/>
      <c r="L464" s="8"/>
      <c r="M464" s="8"/>
      <c r="N464" s="8"/>
      <c r="O464" s="8"/>
      <c r="P464" s="8"/>
      <c r="Q464" s="8"/>
      <c r="R464" s="8"/>
      <c r="S464" s="8"/>
      <c r="T464" s="8"/>
      <c r="U464" s="8"/>
      <c r="V464" s="8"/>
      <c r="W464" s="8"/>
    </row>
    <row r="465" spans="1:23" x14ac:dyDescent="0.25">
      <c r="A465" s="8"/>
      <c r="B465" s="8"/>
      <c r="C465" s="8"/>
      <c r="D465" s="8"/>
      <c r="E465" s="8"/>
      <c r="F465" s="8"/>
      <c r="G465" s="8"/>
      <c r="H465" s="8"/>
      <c r="I465" s="8"/>
      <c r="J465" s="8"/>
      <c r="K465" s="8"/>
      <c r="L465" s="8"/>
      <c r="M465" s="8"/>
      <c r="N465" s="8"/>
      <c r="O465" s="8"/>
      <c r="P465" s="8"/>
      <c r="Q465" s="8"/>
      <c r="R465" s="8"/>
      <c r="S465" s="8"/>
      <c r="T465" s="8"/>
      <c r="U465" s="8"/>
      <c r="V465" s="8"/>
      <c r="W465" s="8"/>
    </row>
    <row r="466" spans="1:23" x14ac:dyDescent="0.25">
      <c r="A466" s="8"/>
      <c r="B466" s="8"/>
      <c r="C466" s="8"/>
      <c r="D466" s="8"/>
      <c r="E466" s="8"/>
      <c r="F466" s="8"/>
      <c r="G466" s="8"/>
      <c r="H466" s="8"/>
      <c r="I466" s="8"/>
      <c r="J466" s="8"/>
      <c r="K466" s="8"/>
      <c r="L466" s="8"/>
      <c r="M466" s="8"/>
      <c r="N466" s="8"/>
      <c r="O466" s="8"/>
      <c r="P466" s="8"/>
      <c r="Q466" s="8"/>
      <c r="R466" s="8"/>
      <c r="S466" s="8"/>
      <c r="T466" s="8"/>
      <c r="U466" s="8"/>
      <c r="V466" s="8"/>
      <c r="W466" s="8"/>
    </row>
    <row r="467" spans="1:23" x14ac:dyDescent="0.25">
      <c r="A467" s="8"/>
      <c r="B467" s="8"/>
      <c r="C467" s="8"/>
      <c r="D467" s="8"/>
      <c r="E467" s="8"/>
      <c r="F467" s="8"/>
      <c r="G467" s="8"/>
      <c r="H467" s="8"/>
      <c r="I467" s="8"/>
      <c r="J467" s="8"/>
      <c r="K467" s="8"/>
      <c r="L467" s="8"/>
      <c r="M467" s="8"/>
      <c r="N467" s="8"/>
      <c r="O467" s="8"/>
      <c r="P467" s="8"/>
      <c r="Q467" s="8"/>
      <c r="R467" s="8"/>
      <c r="S467" s="8"/>
      <c r="T467" s="8"/>
      <c r="U467" s="8"/>
      <c r="V467" s="8"/>
      <c r="W467" s="8"/>
    </row>
    <row r="468" spans="1:23" x14ac:dyDescent="0.25">
      <c r="A468" s="8"/>
      <c r="B468" s="8"/>
      <c r="C468" s="8"/>
      <c r="D468" s="8"/>
      <c r="E468" s="8"/>
      <c r="F468" s="8"/>
      <c r="G468" s="8"/>
      <c r="H468" s="8"/>
      <c r="I468" s="8"/>
      <c r="J468" s="8"/>
      <c r="K468" s="8"/>
      <c r="L468" s="8"/>
      <c r="M468" s="8"/>
      <c r="N468" s="8"/>
      <c r="O468" s="8"/>
      <c r="P468" s="8"/>
      <c r="Q468" s="8"/>
      <c r="R468" s="8"/>
      <c r="S468" s="8"/>
      <c r="T468" s="8"/>
      <c r="U468" s="8"/>
      <c r="V468" s="8"/>
      <c r="W468" s="8"/>
    </row>
    <row r="469" spans="1:23" x14ac:dyDescent="0.25">
      <c r="A469" s="8"/>
      <c r="B469" s="8"/>
      <c r="C469" s="8"/>
      <c r="D469" s="8"/>
      <c r="E469" s="8"/>
      <c r="F469" s="8"/>
      <c r="G469" s="8"/>
      <c r="H469" s="8"/>
      <c r="I469" s="8"/>
      <c r="J469" s="8"/>
      <c r="K469" s="8"/>
      <c r="L469" s="8"/>
      <c r="M469" s="8"/>
      <c r="N469" s="8"/>
      <c r="O469" s="8"/>
      <c r="P469" s="8"/>
      <c r="Q469" s="8"/>
      <c r="R469" s="8"/>
      <c r="S469" s="8"/>
      <c r="T469" s="8"/>
      <c r="U469" s="8"/>
      <c r="V469" s="8"/>
      <c r="W469" s="8"/>
    </row>
    <row r="470" spans="1:23" x14ac:dyDescent="0.25">
      <c r="A470" s="8"/>
      <c r="B470" s="8"/>
      <c r="C470" s="8"/>
      <c r="D470" s="8"/>
      <c r="E470" s="8"/>
      <c r="F470" s="8"/>
      <c r="G470" s="8"/>
      <c r="H470" s="8"/>
      <c r="I470" s="8"/>
      <c r="J470" s="8"/>
      <c r="K470" s="8"/>
      <c r="L470" s="8"/>
      <c r="M470" s="8"/>
      <c r="N470" s="8"/>
      <c r="O470" s="8"/>
      <c r="P470" s="8"/>
      <c r="Q470" s="8"/>
      <c r="R470" s="8"/>
      <c r="S470" s="8"/>
      <c r="T470" s="8"/>
      <c r="U470" s="8"/>
      <c r="V470" s="8"/>
      <c r="W470" s="8"/>
    </row>
    <row r="471" spans="1:23" x14ac:dyDescent="0.25">
      <c r="A471" s="8"/>
      <c r="B471" s="8"/>
      <c r="C471" s="8"/>
      <c r="D471" s="8"/>
      <c r="E471" s="8"/>
      <c r="F471" s="8"/>
      <c r="G471" s="8"/>
      <c r="H471" s="8"/>
      <c r="I471" s="8"/>
      <c r="J471" s="8"/>
      <c r="K471" s="8"/>
      <c r="L471" s="8"/>
      <c r="M471" s="8"/>
      <c r="N471" s="8"/>
      <c r="O471" s="8"/>
      <c r="P471" s="8"/>
      <c r="Q471" s="8"/>
      <c r="R471" s="8"/>
      <c r="S471" s="8"/>
      <c r="T471" s="8"/>
      <c r="U471" s="8"/>
      <c r="V471" s="8"/>
      <c r="W471" s="8"/>
    </row>
    <row r="472" spans="1:23" x14ac:dyDescent="0.25">
      <c r="A472" s="8"/>
      <c r="B472" s="8"/>
      <c r="C472" s="8"/>
      <c r="D472" s="8"/>
      <c r="E472" s="8"/>
      <c r="F472" s="8"/>
      <c r="G472" s="8"/>
      <c r="H472" s="8"/>
      <c r="I472" s="8"/>
      <c r="J472" s="8"/>
      <c r="K472" s="8"/>
      <c r="L472" s="8"/>
      <c r="M472" s="8"/>
      <c r="N472" s="8"/>
      <c r="O472" s="8"/>
      <c r="P472" s="8"/>
      <c r="Q472" s="8"/>
      <c r="R472" s="8"/>
      <c r="S472" s="8"/>
      <c r="T472" s="8"/>
      <c r="U472" s="8"/>
      <c r="V472" s="8"/>
      <c r="W472" s="8"/>
    </row>
    <row r="473" spans="1:23" x14ac:dyDescent="0.25">
      <c r="A473" s="8"/>
      <c r="B473" s="8"/>
      <c r="C473" s="8"/>
      <c r="D473" s="8"/>
      <c r="E473" s="8"/>
      <c r="F473" s="8"/>
      <c r="G473" s="8"/>
      <c r="H473" s="8"/>
      <c r="I473" s="8"/>
      <c r="J473" s="8"/>
      <c r="K473" s="8"/>
      <c r="L473" s="8"/>
      <c r="M473" s="8"/>
      <c r="N473" s="8"/>
      <c r="O473" s="8"/>
      <c r="P473" s="8"/>
      <c r="Q473" s="8"/>
      <c r="R473" s="8"/>
      <c r="S473" s="8"/>
      <c r="T473" s="8"/>
      <c r="U473" s="8"/>
      <c r="V473" s="8"/>
      <c r="W473" s="8"/>
    </row>
    <row r="474" spans="1:23" x14ac:dyDescent="0.25">
      <c r="A474" s="8"/>
      <c r="B474" s="8"/>
      <c r="C474" s="8"/>
      <c r="D474" s="8"/>
      <c r="E474" s="8"/>
      <c r="F474" s="8"/>
      <c r="G474" s="8"/>
      <c r="H474" s="8"/>
      <c r="I474" s="8"/>
      <c r="J474" s="8"/>
      <c r="K474" s="8"/>
      <c r="L474" s="8"/>
      <c r="M474" s="8"/>
      <c r="N474" s="8"/>
      <c r="O474" s="8"/>
      <c r="P474" s="8"/>
      <c r="Q474" s="8"/>
      <c r="R474" s="8"/>
      <c r="S474" s="8"/>
      <c r="T474" s="8"/>
      <c r="U474" s="8"/>
      <c r="V474" s="8"/>
      <c r="W474" s="8"/>
    </row>
    <row r="475" spans="1:23" x14ac:dyDescent="0.25">
      <c r="A475" s="8"/>
      <c r="B475" s="8"/>
      <c r="C475" s="8"/>
      <c r="D475" s="8"/>
      <c r="E475" s="8"/>
      <c r="F475" s="8"/>
      <c r="G475" s="8"/>
      <c r="H475" s="8"/>
      <c r="I475" s="8"/>
      <c r="J475" s="8"/>
      <c r="K475" s="8"/>
      <c r="L475" s="8"/>
      <c r="M475" s="8"/>
      <c r="N475" s="8"/>
      <c r="O475" s="8"/>
      <c r="P475" s="8"/>
      <c r="Q475" s="8"/>
      <c r="R475" s="8"/>
      <c r="S475" s="8"/>
      <c r="T475" s="8"/>
      <c r="U475" s="8"/>
      <c r="V475" s="8"/>
      <c r="W475" s="8"/>
    </row>
    <row r="476" spans="1:23" x14ac:dyDescent="0.25">
      <c r="A476" s="8"/>
      <c r="B476" s="8"/>
      <c r="C476" s="8"/>
      <c r="D476" s="8"/>
      <c r="E476" s="8"/>
      <c r="F476" s="8"/>
      <c r="G476" s="8"/>
      <c r="H476" s="8"/>
      <c r="I476" s="8"/>
      <c r="J476" s="8"/>
      <c r="K476" s="8"/>
      <c r="L476" s="8"/>
      <c r="M476" s="8"/>
      <c r="N476" s="8"/>
      <c r="O476" s="8"/>
      <c r="P476" s="8"/>
      <c r="Q476" s="8"/>
      <c r="R476" s="8"/>
      <c r="S476" s="8"/>
      <c r="T476" s="8"/>
      <c r="U476" s="8"/>
      <c r="V476" s="8"/>
      <c r="W476" s="8"/>
    </row>
    <row r="477" spans="1:23" x14ac:dyDescent="0.25">
      <c r="A477" s="8"/>
      <c r="B477" s="8"/>
      <c r="C477" s="8"/>
      <c r="D477" s="8"/>
      <c r="E477" s="8"/>
      <c r="F477" s="8"/>
      <c r="G477" s="8"/>
      <c r="H477" s="8"/>
      <c r="I477" s="8"/>
      <c r="J477" s="8"/>
      <c r="K477" s="8"/>
      <c r="L477" s="8"/>
      <c r="M477" s="8"/>
      <c r="N477" s="8"/>
      <c r="O477" s="8"/>
      <c r="P477" s="8"/>
      <c r="Q477" s="8"/>
      <c r="R477" s="8"/>
      <c r="S477" s="8"/>
      <c r="T477" s="8"/>
      <c r="U477" s="8"/>
      <c r="V477" s="8"/>
      <c r="W477" s="8"/>
    </row>
    <row r="478" spans="1:23" x14ac:dyDescent="0.25">
      <c r="A478" s="8"/>
      <c r="B478" s="8"/>
      <c r="C478" s="8"/>
      <c r="D478" s="8"/>
      <c r="E478" s="8"/>
      <c r="F478" s="8"/>
      <c r="G478" s="8"/>
      <c r="H478" s="8"/>
      <c r="I478" s="8"/>
      <c r="J478" s="8"/>
      <c r="K478" s="8"/>
      <c r="L478" s="8"/>
      <c r="M478" s="8"/>
      <c r="N478" s="8"/>
      <c r="O478" s="8"/>
      <c r="P478" s="8"/>
      <c r="Q478" s="8"/>
      <c r="R478" s="8"/>
      <c r="S478" s="8"/>
      <c r="T478" s="8"/>
      <c r="U478" s="8"/>
      <c r="V478" s="8"/>
      <c r="W478" s="8"/>
    </row>
    <row r="479" spans="1:23" x14ac:dyDescent="0.25">
      <c r="A479" s="8"/>
      <c r="B479" s="8"/>
      <c r="C479" s="8"/>
      <c r="D479" s="8"/>
      <c r="E479" s="8"/>
      <c r="F479" s="8"/>
      <c r="G479" s="8"/>
      <c r="H479" s="8"/>
      <c r="I479" s="8"/>
      <c r="J479" s="8"/>
      <c r="K479" s="8"/>
      <c r="L479" s="8"/>
      <c r="M479" s="8"/>
      <c r="N479" s="8"/>
      <c r="O479" s="8"/>
      <c r="P479" s="8"/>
      <c r="Q479" s="8"/>
      <c r="R479" s="8"/>
      <c r="S479" s="8"/>
      <c r="T479" s="8"/>
      <c r="U479" s="8"/>
      <c r="V479" s="8"/>
      <c r="W479" s="8"/>
    </row>
    <row r="480" spans="1:23" x14ac:dyDescent="0.25">
      <c r="A480" s="8"/>
      <c r="B480" s="8"/>
      <c r="C480" s="8"/>
      <c r="D480" s="8"/>
      <c r="E480" s="8"/>
      <c r="F480" s="8"/>
      <c r="G480" s="8"/>
      <c r="H480" s="8"/>
      <c r="I480" s="8"/>
      <c r="J480" s="8"/>
      <c r="K480" s="8"/>
      <c r="L480" s="8"/>
      <c r="M480" s="8"/>
      <c r="N480" s="8"/>
      <c r="O480" s="8"/>
      <c r="P480" s="8"/>
      <c r="Q480" s="8"/>
      <c r="R480" s="8"/>
      <c r="S480" s="8"/>
      <c r="T480" s="8"/>
      <c r="U480" s="8"/>
      <c r="V480" s="8"/>
      <c r="W480" s="8"/>
    </row>
    <row r="481" spans="1:23" x14ac:dyDescent="0.25">
      <c r="A481" s="8"/>
      <c r="B481" s="8"/>
      <c r="C481" s="8"/>
      <c r="D481" s="8"/>
      <c r="E481" s="8"/>
      <c r="F481" s="8"/>
      <c r="G481" s="8"/>
      <c r="H481" s="8"/>
      <c r="I481" s="8"/>
      <c r="J481" s="8"/>
      <c r="K481" s="8"/>
      <c r="L481" s="8"/>
      <c r="M481" s="8"/>
      <c r="N481" s="8"/>
      <c r="O481" s="8"/>
      <c r="P481" s="8"/>
      <c r="Q481" s="8"/>
      <c r="R481" s="8"/>
      <c r="S481" s="8"/>
      <c r="T481" s="8"/>
      <c r="U481" s="8"/>
      <c r="V481" s="8"/>
      <c r="W481" s="8"/>
    </row>
    <row r="482" spans="1:23" x14ac:dyDescent="0.25">
      <c r="A482" s="8"/>
      <c r="B482" s="8"/>
      <c r="C482" s="8"/>
      <c r="D482" s="8"/>
      <c r="E482" s="8"/>
      <c r="F482" s="8"/>
      <c r="G482" s="8"/>
      <c r="H482" s="8"/>
      <c r="I482" s="8"/>
      <c r="J482" s="8"/>
      <c r="K482" s="8"/>
      <c r="L482" s="8"/>
      <c r="M482" s="8"/>
      <c r="N482" s="8"/>
      <c r="O482" s="8"/>
      <c r="P482" s="8"/>
      <c r="Q482" s="8"/>
      <c r="R482" s="8"/>
      <c r="S482" s="8"/>
      <c r="T482" s="8"/>
      <c r="U482" s="8"/>
      <c r="V482" s="8"/>
      <c r="W482" s="8"/>
    </row>
    <row r="483" spans="1:23" x14ac:dyDescent="0.25">
      <c r="A483" s="8"/>
      <c r="B483" s="8"/>
      <c r="C483" s="8"/>
      <c r="D483" s="8"/>
      <c r="E483" s="8"/>
      <c r="F483" s="8"/>
      <c r="G483" s="8"/>
      <c r="H483" s="8"/>
      <c r="I483" s="8"/>
      <c r="J483" s="8"/>
      <c r="K483" s="8"/>
      <c r="L483" s="8"/>
      <c r="M483" s="8"/>
      <c r="N483" s="8"/>
      <c r="O483" s="8"/>
      <c r="P483" s="8"/>
      <c r="Q483" s="8"/>
      <c r="R483" s="8"/>
      <c r="S483" s="8"/>
      <c r="T483" s="8"/>
      <c r="U483" s="8"/>
      <c r="V483" s="8"/>
      <c r="W483" s="8"/>
    </row>
    <row r="484" spans="1:23" x14ac:dyDescent="0.25">
      <c r="A484" s="8"/>
      <c r="B484" s="8"/>
      <c r="C484" s="8"/>
      <c r="D484" s="8"/>
      <c r="E484" s="8"/>
      <c r="F484" s="8"/>
      <c r="G484" s="8"/>
      <c r="H484" s="8"/>
      <c r="I484" s="8"/>
      <c r="J484" s="8"/>
      <c r="K484" s="8"/>
      <c r="L484" s="8"/>
      <c r="M484" s="8"/>
      <c r="N484" s="8"/>
      <c r="O484" s="8"/>
      <c r="P484" s="8"/>
      <c r="Q484" s="8"/>
      <c r="R484" s="8"/>
      <c r="S484" s="8"/>
      <c r="T484" s="8"/>
      <c r="U484" s="8"/>
      <c r="V484" s="8"/>
      <c r="W484" s="8"/>
    </row>
    <row r="485" spans="1:23" x14ac:dyDescent="0.25">
      <c r="A485" s="8"/>
      <c r="B485" s="8"/>
      <c r="C485" s="8"/>
      <c r="D485" s="8"/>
      <c r="E485" s="8"/>
      <c r="F485" s="8"/>
      <c r="G485" s="8"/>
      <c r="H485" s="8"/>
      <c r="I485" s="8"/>
      <c r="J485" s="8"/>
      <c r="K485" s="8"/>
      <c r="L485" s="8"/>
      <c r="M485" s="8"/>
      <c r="N485" s="8"/>
      <c r="O485" s="8"/>
      <c r="P485" s="8"/>
      <c r="Q485" s="8"/>
      <c r="R485" s="8"/>
      <c r="S485" s="8"/>
      <c r="T485" s="8"/>
      <c r="U485" s="8"/>
      <c r="V485" s="8"/>
      <c r="W485" s="8"/>
    </row>
    <row r="486" spans="1:23" x14ac:dyDescent="0.25">
      <c r="A486" s="8"/>
      <c r="B486" s="8"/>
      <c r="C486" s="8"/>
      <c r="D486" s="8"/>
      <c r="E486" s="8"/>
      <c r="F486" s="8"/>
      <c r="G486" s="8"/>
      <c r="H486" s="8"/>
      <c r="I486" s="8"/>
      <c r="J486" s="8"/>
      <c r="K486" s="8"/>
      <c r="L486" s="8"/>
      <c r="M486" s="8"/>
      <c r="N486" s="8"/>
      <c r="O486" s="8"/>
      <c r="P486" s="8"/>
      <c r="Q486" s="8"/>
      <c r="R486" s="8"/>
      <c r="S486" s="8"/>
      <c r="T486" s="8"/>
      <c r="U486" s="8"/>
      <c r="V486" s="8"/>
      <c r="W486" s="8"/>
    </row>
    <row r="487" spans="1:23" x14ac:dyDescent="0.25">
      <c r="A487" s="8"/>
      <c r="B487" s="8"/>
      <c r="C487" s="8"/>
      <c r="D487" s="8"/>
      <c r="E487" s="8"/>
      <c r="F487" s="8"/>
      <c r="G487" s="8"/>
      <c r="H487" s="8"/>
      <c r="I487" s="8"/>
      <c r="J487" s="8"/>
      <c r="K487" s="8"/>
      <c r="L487" s="8"/>
      <c r="M487" s="8"/>
      <c r="N487" s="8"/>
      <c r="O487" s="8"/>
      <c r="P487" s="8"/>
      <c r="Q487" s="8"/>
      <c r="R487" s="8"/>
      <c r="S487" s="8"/>
      <c r="T487" s="8"/>
      <c r="U487" s="8"/>
      <c r="V487" s="8"/>
      <c r="W487" s="8"/>
    </row>
    <row r="488" spans="1:23" x14ac:dyDescent="0.25">
      <c r="A488" s="8"/>
      <c r="B488" s="8"/>
      <c r="C488" s="8"/>
      <c r="D488" s="8"/>
      <c r="E488" s="8"/>
      <c r="F488" s="8"/>
      <c r="G488" s="8"/>
      <c r="H488" s="8"/>
      <c r="I488" s="8"/>
      <c r="J488" s="8"/>
      <c r="K488" s="8"/>
      <c r="L488" s="8"/>
      <c r="M488" s="8"/>
      <c r="N488" s="8"/>
      <c r="O488" s="8"/>
      <c r="P488" s="8"/>
      <c r="Q488" s="8"/>
      <c r="R488" s="8"/>
      <c r="S488" s="8"/>
      <c r="T488" s="8"/>
      <c r="U488" s="8"/>
      <c r="V488" s="8"/>
      <c r="W488" s="8"/>
    </row>
    <row r="489" spans="1:23" x14ac:dyDescent="0.25">
      <c r="A489" s="8"/>
      <c r="B489" s="8"/>
      <c r="C489" s="8"/>
      <c r="D489" s="8"/>
      <c r="E489" s="8"/>
      <c r="F489" s="8"/>
      <c r="G489" s="8"/>
      <c r="H489" s="8"/>
      <c r="I489" s="8"/>
      <c r="J489" s="8"/>
      <c r="K489" s="8"/>
      <c r="L489" s="8"/>
      <c r="M489" s="8"/>
      <c r="N489" s="8"/>
      <c r="O489" s="8"/>
      <c r="P489" s="8"/>
      <c r="Q489" s="8"/>
      <c r="R489" s="8"/>
      <c r="S489" s="8"/>
      <c r="T489" s="8"/>
      <c r="U489" s="8"/>
      <c r="V489" s="8"/>
      <c r="W489" s="8"/>
    </row>
    <row r="490" spans="1:23" x14ac:dyDescent="0.25">
      <c r="A490" s="8"/>
      <c r="B490" s="8"/>
      <c r="C490" s="8"/>
      <c r="D490" s="8"/>
      <c r="E490" s="8"/>
      <c r="F490" s="8"/>
      <c r="G490" s="8"/>
      <c r="H490" s="8"/>
      <c r="I490" s="8"/>
      <c r="J490" s="8"/>
      <c r="K490" s="8"/>
      <c r="L490" s="8"/>
      <c r="M490" s="8"/>
      <c r="N490" s="8"/>
      <c r="O490" s="8"/>
      <c r="P490" s="8"/>
      <c r="Q490" s="8"/>
      <c r="R490" s="8"/>
      <c r="S490" s="8"/>
      <c r="T490" s="8"/>
      <c r="U490" s="8"/>
      <c r="V490" s="8"/>
      <c r="W490" s="8"/>
    </row>
    <row r="491" spans="1:23" x14ac:dyDescent="0.25">
      <c r="A491" s="8"/>
      <c r="B491" s="8"/>
      <c r="C491" s="8"/>
      <c r="D491" s="8"/>
      <c r="E491" s="8"/>
      <c r="F491" s="8"/>
      <c r="G491" s="8"/>
      <c r="H491" s="8"/>
      <c r="I491" s="8"/>
      <c r="J491" s="8"/>
      <c r="K491" s="8"/>
      <c r="L491" s="8"/>
      <c r="M491" s="8"/>
      <c r="N491" s="8"/>
      <c r="O491" s="8"/>
      <c r="P491" s="8"/>
      <c r="Q491" s="8"/>
      <c r="R491" s="8"/>
      <c r="S491" s="8"/>
      <c r="T491" s="8"/>
      <c r="U491" s="8"/>
      <c r="V491" s="8"/>
      <c r="W491" s="8"/>
    </row>
    <row r="492" spans="1:23" x14ac:dyDescent="0.25">
      <c r="A492" s="8"/>
      <c r="B492" s="8"/>
      <c r="C492" s="8"/>
      <c r="D492" s="8"/>
      <c r="E492" s="8"/>
      <c r="F492" s="8"/>
      <c r="G492" s="8"/>
      <c r="H492" s="8"/>
      <c r="I492" s="8"/>
      <c r="J492" s="8"/>
      <c r="K492" s="8"/>
      <c r="L492" s="8"/>
      <c r="M492" s="8"/>
      <c r="N492" s="8"/>
      <c r="O492" s="8"/>
      <c r="P492" s="8"/>
      <c r="Q492" s="8"/>
      <c r="R492" s="8"/>
      <c r="S492" s="8"/>
      <c r="T492" s="8"/>
      <c r="U492" s="8"/>
      <c r="V492" s="8"/>
      <c r="W492" s="8"/>
    </row>
    <row r="493" spans="1:23" x14ac:dyDescent="0.25">
      <c r="A493" s="8"/>
      <c r="B493" s="8"/>
      <c r="C493" s="8"/>
      <c r="D493" s="8"/>
      <c r="E493" s="8"/>
      <c r="F493" s="8"/>
      <c r="G493" s="8"/>
      <c r="H493" s="8"/>
      <c r="I493" s="8"/>
      <c r="J493" s="8"/>
      <c r="K493" s="8"/>
      <c r="L493" s="8"/>
      <c r="M493" s="8"/>
      <c r="N493" s="8"/>
      <c r="O493" s="8"/>
      <c r="P493" s="8"/>
      <c r="Q493" s="8"/>
      <c r="R493" s="8"/>
      <c r="S493" s="8"/>
      <c r="T493" s="8"/>
      <c r="U493" s="8"/>
      <c r="V493" s="8"/>
      <c r="W493" s="8"/>
    </row>
    <row r="494" spans="1:23" x14ac:dyDescent="0.25">
      <c r="A494" s="8"/>
      <c r="B494" s="8"/>
      <c r="C494" s="8"/>
      <c r="D494" s="8"/>
      <c r="E494" s="8"/>
      <c r="F494" s="8"/>
      <c r="G494" s="8"/>
      <c r="H494" s="8"/>
      <c r="I494" s="8"/>
      <c r="J494" s="8"/>
      <c r="K494" s="8"/>
      <c r="L494" s="8"/>
      <c r="M494" s="8"/>
      <c r="N494" s="8"/>
      <c r="O494" s="8"/>
      <c r="P494" s="8"/>
      <c r="Q494" s="8"/>
      <c r="R494" s="8"/>
      <c r="S494" s="8"/>
      <c r="T494" s="8"/>
      <c r="U494" s="8"/>
      <c r="V494" s="8"/>
      <c r="W494" s="8"/>
    </row>
    <row r="495" spans="1:23" x14ac:dyDescent="0.25">
      <c r="A495" s="8"/>
      <c r="B495" s="8"/>
      <c r="C495" s="8"/>
      <c r="D495" s="8"/>
      <c r="E495" s="8"/>
      <c r="F495" s="8"/>
      <c r="G495" s="8"/>
      <c r="H495" s="8"/>
      <c r="I495" s="8"/>
      <c r="J495" s="8"/>
      <c r="K495" s="8"/>
      <c r="L495" s="8"/>
      <c r="M495" s="8"/>
      <c r="N495" s="8"/>
      <c r="O495" s="8"/>
      <c r="P495" s="8"/>
      <c r="Q495" s="8"/>
      <c r="R495" s="8"/>
      <c r="S495" s="8"/>
      <c r="T495" s="8"/>
      <c r="U495" s="8"/>
      <c r="V495" s="8"/>
      <c r="W495" s="8"/>
    </row>
    <row r="496" spans="1:23" x14ac:dyDescent="0.25">
      <c r="A496" s="8"/>
      <c r="B496" s="8"/>
      <c r="C496" s="8"/>
      <c r="D496" s="8"/>
      <c r="E496" s="8"/>
      <c r="F496" s="8"/>
      <c r="G496" s="8"/>
      <c r="H496" s="8"/>
      <c r="I496" s="8"/>
      <c r="J496" s="8"/>
      <c r="K496" s="8"/>
      <c r="L496" s="8"/>
      <c r="M496" s="8"/>
      <c r="N496" s="8"/>
      <c r="O496" s="8"/>
      <c r="P496" s="8"/>
      <c r="Q496" s="8"/>
      <c r="R496" s="8"/>
      <c r="S496" s="8"/>
      <c r="T496" s="8"/>
      <c r="U496" s="8"/>
      <c r="V496" s="8"/>
      <c r="W496" s="8"/>
    </row>
    <row r="497" spans="1:23" x14ac:dyDescent="0.25">
      <c r="A497" s="8"/>
      <c r="B497" s="8"/>
      <c r="C497" s="8"/>
      <c r="D497" s="8"/>
      <c r="E497" s="8"/>
      <c r="F497" s="8"/>
      <c r="G497" s="8"/>
      <c r="H497" s="8"/>
      <c r="I497" s="8"/>
      <c r="J497" s="8"/>
      <c r="K497" s="8"/>
      <c r="L497" s="8"/>
      <c r="M497" s="8"/>
      <c r="N497" s="8"/>
      <c r="O497" s="8"/>
      <c r="P497" s="8"/>
      <c r="Q497" s="8"/>
      <c r="R497" s="8"/>
      <c r="S497" s="8"/>
      <c r="T497" s="8"/>
      <c r="U497" s="8"/>
      <c r="V497" s="8"/>
      <c r="W497" s="8"/>
    </row>
    <row r="498" spans="1:23" x14ac:dyDescent="0.25">
      <c r="A498" s="8"/>
      <c r="B498" s="8"/>
      <c r="C498" s="8"/>
      <c r="D498" s="8"/>
      <c r="E498" s="8"/>
      <c r="F498" s="8"/>
      <c r="G498" s="8"/>
      <c r="H498" s="8"/>
      <c r="I498" s="8"/>
      <c r="J498" s="8"/>
      <c r="K498" s="8"/>
      <c r="L498" s="8"/>
      <c r="M498" s="8"/>
      <c r="N498" s="8"/>
      <c r="O498" s="8"/>
      <c r="P498" s="8"/>
      <c r="Q498" s="8"/>
      <c r="R498" s="8"/>
      <c r="S498" s="8"/>
      <c r="T498" s="8"/>
      <c r="U498" s="8"/>
      <c r="V498" s="8"/>
      <c r="W498" s="8"/>
    </row>
    <row r="499" spans="1:23" x14ac:dyDescent="0.25">
      <c r="A499" s="8"/>
      <c r="B499" s="8"/>
      <c r="C499" s="8"/>
      <c r="D499" s="8"/>
      <c r="E499" s="8"/>
      <c r="F499" s="8"/>
      <c r="G499" s="8"/>
      <c r="H499" s="8"/>
      <c r="I499" s="8"/>
      <c r="J499" s="8"/>
      <c r="K499" s="8"/>
      <c r="L499" s="8"/>
      <c r="M499" s="8"/>
      <c r="N499" s="8"/>
      <c r="O499" s="8"/>
      <c r="P499" s="8"/>
      <c r="Q499" s="8"/>
      <c r="R499" s="8"/>
      <c r="S499" s="8"/>
      <c r="T499" s="8"/>
      <c r="U499" s="8"/>
      <c r="V499" s="8"/>
      <c r="W499" s="8"/>
    </row>
    <row r="500" spans="1:23" x14ac:dyDescent="0.25">
      <c r="A500" s="8"/>
      <c r="B500" s="8"/>
      <c r="C500" s="8"/>
      <c r="D500" s="8"/>
      <c r="E500" s="8"/>
      <c r="F500" s="8"/>
      <c r="G500" s="8"/>
      <c r="H500" s="8"/>
      <c r="I500" s="8"/>
      <c r="J500" s="8"/>
      <c r="K500" s="8"/>
      <c r="L500" s="8"/>
      <c r="M500" s="8"/>
      <c r="N500" s="8"/>
      <c r="O500" s="8"/>
      <c r="P500" s="8"/>
      <c r="Q500" s="8"/>
      <c r="R500" s="8"/>
      <c r="S500" s="8"/>
      <c r="T500" s="8"/>
      <c r="U500" s="8"/>
      <c r="V500" s="8"/>
      <c r="W500" s="8"/>
    </row>
    <row r="501" spans="1:23" x14ac:dyDescent="0.25">
      <c r="A501" s="8"/>
      <c r="B501" s="8"/>
      <c r="C501" s="8"/>
      <c r="D501" s="8"/>
      <c r="E501" s="8"/>
      <c r="F501" s="8"/>
      <c r="G501" s="8"/>
      <c r="H501" s="8"/>
      <c r="I501" s="8"/>
      <c r="J501" s="8"/>
      <c r="K501" s="8"/>
      <c r="L501" s="8"/>
      <c r="M501" s="8"/>
      <c r="N501" s="8"/>
      <c r="O501" s="8"/>
      <c r="P501" s="8"/>
      <c r="Q501" s="8"/>
      <c r="R501" s="8"/>
      <c r="S501" s="8"/>
      <c r="T501" s="8"/>
      <c r="U501" s="8"/>
      <c r="V501" s="8"/>
      <c r="W501" s="8"/>
    </row>
    <row r="502" spans="1:23" x14ac:dyDescent="0.25">
      <c r="A502" s="8"/>
      <c r="B502" s="8"/>
      <c r="C502" s="8"/>
      <c r="D502" s="8"/>
      <c r="E502" s="8"/>
      <c r="F502" s="8"/>
      <c r="G502" s="8"/>
      <c r="H502" s="8"/>
      <c r="I502" s="8"/>
      <c r="J502" s="8"/>
      <c r="K502" s="8"/>
      <c r="L502" s="8"/>
      <c r="M502" s="8"/>
      <c r="N502" s="8"/>
      <c r="O502" s="8"/>
      <c r="P502" s="8"/>
      <c r="Q502" s="8"/>
      <c r="R502" s="8"/>
      <c r="S502" s="8"/>
      <c r="T502" s="8"/>
      <c r="U502" s="8"/>
      <c r="V502" s="8"/>
      <c r="W502" s="8"/>
    </row>
    <row r="503" spans="1:23" x14ac:dyDescent="0.25">
      <c r="A503" s="8"/>
      <c r="B503" s="8"/>
      <c r="C503" s="8"/>
      <c r="D503" s="8"/>
      <c r="E503" s="8"/>
      <c r="F503" s="8"/>
      <c r="G503" s="8"/>
      <c r="H503" s="8"/>
      <c r="I503" s="8"/>
      <c r="J503" s="8"/>
      <c r="K503" s="8"/>
      <c r="L503" s="8"/>
      <c r="M503" s="8"/>
      <c r="N503" s="8"/>
      <c r="O503" s="8"/>
      <c r="P503" s="8"/>
      <c r="Q503" s="8"/>
      <c r="R503" s="8"/>
      <c r="S503" s="8"/>
      <c r="T503" s="8"/>
      <c r="U503" s="8"/>
      <c r="V503" s="8"/>
      <c r="W503" s="8"/>
    </row>
    <row r="504" spans="1:23" x14ac:dyDescent="0.25">
      <c r="A504" s="8"/>
      <c r="B504" s="8"/>
      <c r="C504" s="8"/>
      <c r="D504" s="8"/>
      <c r="E504" s="8"/>
      <c r="F504" s="8"/>
      <c r="G504" s="8"/>
      <c r="H504" s="8"/>
      <c r="I504" s="8"/>
      <c r="J504" s="8"/>
      <c r="K504" s="8"/>
      <c r="L504" s="8"/>
      <c r="M504" s="8"/>
      <c r="N504" s="8"/>
      <c r="O504" s="8"/>
      <c r="P504" s="8"/>
      <c r="Q504" s="8"/>
      <c r="R504" s="8"/>
      <c r="S504" s="8"/>
      <c r="T504" s="8"/>
      <c r="U504" s="8"/>
      <c r="V504" s="8"/>
      <c r="W504" s="8"/>
    </row>
    <row r="505" spans="1:23" x14ac:dyDescent="0.25">
      <c r="A505" s="8"/>
      <c r="B505" s="8"/>
      <c r="C505" s="8"/>
      <c r="D505" s="8"/>
      <c r="E505" s="8"/>
      <c r="F505" s="8"/>
      <c r="G505" s="8"/>
      <c r="H505" s="8"/>
      <c r="I505" s="8"/>
      <c r="J505" s="8"/>
      <c r="K505" s="8"/>
      <c r="L505" s="8"/>
      <c r="M505" s="8"/>
      <c r="N505" s="8"/>
      <c r="O505" s="8"/>
      <c r="P505" s="8"/>
      <c r="Q505" s="8"/>
      <c r="R505" s="8"/>
      <c r="S505" s="8"/>
      <c r="T505" s="8"/>
      <c r="U505" s="8"/>
      <c r="V505" s="8"/>
      <c r="W505" s="8"/>
    </row>
    <row r="506" spans="1:23" x14ac:dyDescent="0.25">
      <c r="A506" s="8"/>
      <c r="B506" s="8"/>
      <c r="C506" s="8"/>
      <c r="D506" s="8"/>
      <c r="E506" s="8"/>
      <c r="F506" s="8"/>
      <c r="G506" s="8"/>
      <c r="H506" s="8"/>
      <c r="I506" s="8"/>
      <c r="J506" s="8"/>
      <c r="K506" s="8"/>
      <c r="L506" s="8"/>
      <c r="M506" s="8"/>
      <c r="N506" s="8"/>
      <c r="O506" s="8"/>
      <c r="P506" s="8"/>
      <c r="Q506" s="8"/>
      <c r="R506" s="8"/>
      <c r="S506" s="8"/>
      <c r="T506" s="8"/>
      <c r="U506" s="8"/>
      <c r="V506" s="8"/>
      <c r="W506" s="8"/>
    </row>
    <row r="507" spans="1:23" x14ac:dyDescent="0.25">
      <c r="A507" s="8"/>
      <c r="B507" s="8"/>
      <c r="C507" s="8"/>
      <c r="D507" s="8"/>
      <c r="E507" s="8"/>
      <c r="F507" s="8"/>
      <c r="G507" s="8"/>
      <c r="H507" s="8"/>
      <c r="I507" s="8"/>
      <c r="J507" s="8"/>
      <c r="K507" s="8"/>
      <c r="L507" s="8"/>
      <c r="M507" s="8"/>
      <c r="N507" s="8"/>
      <c r="O507" s="8"/>
      <c r="P507" s="8"/>
      <c r="Q507" s="8"/>
      <c r="R507" s="8"/>
      <c r="S507" s="8"/>
      <c r="T507" s="8"/>
      <c r="U507" s="8"/>
      <c r="V507" s="8"/>
      <c r="W507" s="8"/>
    </row>
    <row r="508" spans="1:23" x14ac:dyDescent="0.25">
      <c r="A508" s="8"/>
      <c r="B508" s="8"/>
      <c r="C508" s="8"/>
      <c r="D508" s="8"/>
      <c r="E508" s="8"/>
      <c r="F508" s="8"/>
      <c r="G508" s="8"/>
      <c r="H508" s="8"/>
      <c r="I508" s="8"/>
      <c r="J508" s="8"/>
      <c r="K508" s="8"/>
      <c r="L508" s="8"/>
      <c r="M508" s="8"/>
      <c r="N508" s="8"/>
      <c r="O508" s="8"/>
      <c r="P508" s="8"/>
      <c r="Q508" s="8"/>
      <c r="R508" s="8"/>
      <c r="S508" s="8"/>
      <c r="T508" s="8"/>
      <c r="U508" s="8"/>
      <c r="V508" s="8"/>
      <c r="W508" s="8"/>
    </row>
    <row r="509" spans="1:23" x14ac:dyDescent="0.25">
      <c r="A509" s="8"/>
      <c r="B509" s="8"/>
      <c r="C509" s="8"/>
      <c r="D509" s="8"/>
      <c r="E509" s="8"/>
      <c r="F509" s="8"/>
      <c r="G509" s="8"/>
      <c r="H509" s="8"/>
      <c r="I509" s="8"/>
      <c r="J509" s="8"/>
      <c r="K509" s="8"/>
      <c r="L509" s="8"/>
      <c r="M509" s="8"/>
      <c r="N509" s="8"/>
      <c r="O509" s="8"/>
      <c r="P509" s="8"/>
      <c r="Q509" s="8"/>
      <c r="R509" s="8"/>
      <c r="S509" s="8"/>
      <c r="T509" s="8"/>
      <c r="U509" s="8"/>
      <c r="V509" s="8"/>
      <c r="W509" s="8"/>
    </row>
    <row r="510" spans="1:23" x14ac:dyDescent="0.25">
      <c r="A510" s="8"/>
      <c r="B510" s="8"/>
      <c r="C510" s="8"/>
      <c r="D510" s="8"/>
      <c r="E510" s="8"/>
      <c r="F510" s="8"/>
      <c r="G510" s="8"/>
      <c r="H510" s="8"/>
      <c r="I510" s="8"/>
      <c r="J510" s="8"/>
      <c r="K510" s="8"/>
      <c r="L510" s="8"/>
      <c r="M510" s="8"/>
      <c r="N510" s="8"/>
      <c r="O510" s="8"/>
      <c r="P510" s="8"/>
      <c r="Q510" s="8"/>
      <c r="R510" s="8"/>
      <c r="S510" s="8"/>
      <c r="T510" s="8"/>
      <c r="U510" s="8"/>
      <c r="V510" s="8"/>
      <c r="W510" s="8"/>
    </row>
    <row r="511" spans="1:23" x14ac:dyDescent="0.25">
      <c r="A511" s="8"/>
      <c r="B511" s="8"/>
      <c r="C511" s="8"/>
      <c r="D511" s="8"/>
      <c r="E511" s="8"/>
      <c r="F511" s="8"/>
      <c r="G511" s="8"/>
      <c r="H511" s="8"/>
      <c r="I511" s="8"/>
      <c r="J511" s="8"/>
      <c r="K511" s="8"/>
      <c r="L511" s="8"/>
      <c r="M511" s="8"/>
      <c r="N511" s="8"/>
      <c r="O511" s="8"/>
      <c r="P511" s="8"/>
      <c r="Q511" s="8"/>
      <c r="R511" s="8"/>
      <c r="S511" s="8"/>
      <c r="T511" s="8"/>
      <c r="U511" s="8"/>
      <c r="V511" s="8"/>
      <c r="W511" s="8"/>
    </row>
    <row r="512" spans="1:23" x14ac:dyDescent="0.25">
      <c r="A512" s="8"/>
      <c r="B512" s="8"/>
      <c r="C512" s="8"/>
      <c r="D512" s="8"/>
      <c r="E512" s="8"/>
      <c r="F512" s="8"/>
      <c r="G512" s="8"/>
      <c r="H512" s="8"/>
      <c r="I512" s="8"/>
      <c r="J512" s="8"/>
      <c r="K512" s="8"/>
      <c r="L512" s="8"/>
      <c r="M512" s="8"/>
      <c r="N512" s="8"/>
      <c r="O512" s="8"/>
      <c r="P512" s="8"/>
      <c r="Q512" s="8"/>
      <c r="R512" s="8"/>
      <c r="S512" s="8"/>
      <c r="T512" s="8"/>
      <c r="U512" s="8"/>
      <c r="V512" s="8"/>
      <c r="W512" s="8"/>
    </row>
    <row r="513" spans="1:23" x14ac:dyDescent="0.25">
      <c r="A513" s="8"/>
      <c r="B513" s="8"/>
      <c r="C513" s="8"/>
      <c r="D513" s="8"/>
      <c r="E513" s="8"/>
      <c r="F513" s="8"/>
      <c r="G513" s="8"/>
      <c r="H513" s="8"/>
      <c r="I513" s="8"/>
      <c r="J513" s="8"/>
      <c r="K513" s="8"/>
      <c r="L513" s="8"/>
      <c r="M513" s="8"/>
      <c r="N513" s="8"/>
      <c r="O513" s="8"/>
      <c r="P513" s="8"/>
      <c r="Q513" s="8"/>
      <c r="R513" s="8"/>
      <c r="S513" s="8"/>
      <c r="T513" s="8"/>
      <c r="U513" s="8"/>
      <c r="V513" s="8"/>
      <c r="W513" s="8"/>
    </row>
    <row r="514" spans="1:23" x14ac:dyDescent="0.25">
      <c r="A514" s="8"/>
      <c r="B514" s="8"/>
      <c r="C514" s="8"/>
      <c r="D514" s="8"/>
      <c r="E514" s="8"/>
      <c r="F514" s="8"/>
      <c r="G514" s="8"/>
      <c r="H514" s="8"/>
      <c r="I514" s="8"/>
      <c r="J514" s="8"/>
      <c r="K514" s="8"/>
      <c r="L514" s="8"/>
      <c r="M514" s="8"/>
      <c r="N514" s="8"/>
      <c r="O514" s="8"/>
      <c r="P514" s="8"/>
      <c r="Q514" s="8"/>
      <c r="R514" s="8"/>
      <c r="S514" s="8"/>
      <c r="T514" s="8"/>
      <c r="U514" s="8"/>
      <c r="V514" s="8"/>
      <c r="W514" s="8"/>
    </row>
    <row r="515" spans="1:23" x14ac:dyDescent="0.25">
      <c r="A515" s="8"/>
      <c r="B515" s="8"/>
      <c r="C515" s="8"/>
      <c r="D515" s="8"/>
      <c r="E515" s="8"/>
      <c r="F515" s="8"/>
      <c r="G515" s="8"/>
      <c r="H515" s="8"/>
      <c r="I515" s="8"/>
      <c r="J515" s="8"/>
      <c r="K515" s="8"/>
      <c r="L515" s="8"/>
      <c r="M515" s="8"/>
      <c r="N515" s="8"/>
      <c r="O515" s="8"/>
      <c r="P515" s="8"/>
      <c r="Q515" s="8"/>
      <c r="R515" s="8"/>
      <c r="S515" s="8"/>
      <c r="T515" s="8"/>
      <c r="U515" s="8"/>
      <c r="V515" s="8"/>
      <c r="W515" s="8"/>
    </row>
    <row r="516" spans="1:23" x14ac:dyDescent="0.25">
      <c r="A516" s="8"/>
      <c r="B516" s="8"/>
      <c r="C516" s="8"/>
      <c r="D516" s="8"/>
      <c r="E516" s="8"/>
      <c r="F516" s="8"/>
      <c r="G516" s="8"/>
      <c r="H516" s="8"/>
      <c r="I516" s="8"/>
      <c r="J516" s="8"/>
      <c r="K516" s="8"/>
      <c r="L516" s="8"/>
      <c r="M516" s="8"/>
      <c r="N516" s="8"/>
      <c r="O516" s="8"/>
      <c r="P516" s="8"/>
      <c r="Q516" s="8"/>
      <c r="R516" s="8"/>
      <c r="S516" s="8"/>
      <c r="T516" s="8"/>
      <c r="U516" s="8"/>
      <c r="V516" s="8"/>
      <c r="W516" s="8"/>
    </row>
    <row r="517" spans="1:23" x14ac:dyDescent="0.25">
      <c r="A517" s="8"/>
      <c r="B517" s="8"/>
      <c r="C517" s="8"/>
      <c r="D517" s="8"/>
      <c r="E517" s="8"/>
      <c r="F517" s="8"/>
      <c r="G517" s="8"/>
      <c r="H517" s="8"/>
      <c r="I517" s="8"/>
      <c r="J517" s="8"/>
      <c r="K517" s="8"/>
      <c r="L517" s="8"/>
      <c r="M517" s="8"/>
      <c r="N517" s="8"/>
      <c r="O517" s="8"/>
      <c r="P517" s="8"/>
      <c r="Q517" s="8"/>
      <c r="R517" s="8"/>
      <c r="S517" s="8"/>
      <c r="T517" s="8"/>
      <c r="U517" s="8"/>
      <c r="V517" s="8"/>
      <c r="W517" s="8"/>
    </row>
    <row r="518" spans="1:23" x14ac:dyDescent="0.25">
      <c r="A518" s="8"/>
      <c r="B518" s="8"/>
      <c r="C518" s="8"/>
      <c r="D518" s="8"/>
      <c r="E518" s="8"/>
      <c r="F518" s="8"/>
      <c r="G518" s="8"/>
      <c r="H518" s="8"/>
      <c r="I518" s="8"/>
      <c r="J518" s="8"/>
      <c r="K518" s="8"/>
      <c r="L518" s="8"/>
      <c r="M518" s="8"/>
      <c r="N518" s="8"/>
      <c r="O518" s="8"/>
      <c r="P518" s="8"/>
      <c r="Q518" s="8"/>
      <c r="R518" s="8"/>
      <c r="S518" s="8"/>
      <c r="T518" s="8"/>
      <c r="U518" s="8"/>
      <c r="V518" s="8"/>
      <c r="W518" s="8"/>
    </row>
    <row r="519" spans="1:23" x14ac:dyDescent="0.25">
      <c r="A519" s="8"/>
      <c r="B519" s="8"/>
      <c r="C519" s="8"/>
      <c r="D519" s="8"/>
      <c r="E519" s="8"/>
      <c r="F519" s="8"/>
      <c r="G519" s="8"/>
      <c r="H519" s="8"/>
      <c r="I519" s="8"/>
      <c r="J519" s="8"/>
      <c r="K519" s="8"/>
      <c r="L519" s="8"/>
      <c r="M519" s="8"/>
      <c r="N519" s="8"/>
      <c r="O519" s="8"/>
      <c r="P519" s="8"/>
      <c r="Q519" s="8"/>
      <c r="R519" s="8"/>
      <c r="S519" s="8"/>
      <c r="T519" s="8"/>
      <c r="U519" s="8"/>
      <c r="V519" s="8"/>
      <c r="W519" s="8"/>
    </row>
    <row r="520" spans="1:23" x14ac:dyDescent="0.25">
      <c r="A520" s="8"/>
      <c r="B520" s="8"/>
      <c r="C520" s="8"/>
      <c r="D520" s="8"/>
      <c r="E520" s="8"/>
      <c r="F520" s="8"/>
      <c r="G520" s="8"/>
      <c r="H520" s="8"/>
      <c r="I520" s="8"/>
      <c r="J520" s="8"/>
      <c r="K520" s="8"/>
      <c r="L520" s="8"/>
      <c r="M520" s="8"/>
      <c r="N520" s="8"/>
      <c r="O520" s="8"/>
      <c r="P520" s="8"/>
      <c r="Q520" s="8"/>
      <c r="R520" s="8"/>
      <c r="S520" s="8"/>
      <c r="T520" s="8"/>
      <c r="U520" s="8"/>
      <c r="V520" s="8"/>
      <c r="W520" s="8"/>
    </row>
    <row r="521" spans="1:23" x14ac:dyDescent="0.25">
      <c r="A521" s="8"/>
      <c r="B521" s="8"/>
      <c r="C521" s="8"/>
      <c r="D521" s="8"/>
      <c r="E521" s="8"/>
      <c r="F521" s="8"/>
      <c r="G521" s="8"/>
      <c r="H521" s="8"/>
      <c r="I521" s="8"/>
      <c r="J521" s="8"/>
      <c r="K521" s="8"/>
      <c r="L521" s="8"/>
      <c r="M521" s="8"/>
      <c r="N521" s="8"/>
      <c r="O521" s="8"/>
      <c r="P521" s="8"/>
      <c r="Q521" s="8"/>
      <c r="R521" s="8"/>
      <c r="S521" s="8"/>
      <c r="T521" s="8"/>
      <c r="U521" s="8"/>
      <c r="V521" s="8"/>
      <c r="W521" s="8"/>
    </row>
    <row r="522" spans="1:23" x14ac:dyDescent="0.25">
      <c r="A522" s="8"/>
      <c r="B522" s="8"/>
      <c r="C522" s="8"/>
      <c r="D522" s="8"/>
      <c r="E522" s="8"/>
      <c r="F522" s="8"/>
      <c r="G522" s="8"/>
      <c r="H522" s="8"/>
      <c r="I522" s="8"/>
      <c r="J522" s="8"/>
      <c r="K522" s="8"/>
      <c r="L522" s="8"/>
      <c r="M522" s="8"/>
      <c r="N522" s="8"/>
      <c r="O522" s="8"/>
      <c r="P522" s="8"/>
      <c r="Q522" s="8"/>
      <c r="R522" s="8"/>
      <c r="S522" s="8"/>
      <c r="T522" s="8"/>
      <c r="U522" s="8"/>
      <c r="V522" s="8"/>
      <c r="W522" s="8"/>
    </row>
    <row r="523" spans="1:23" x14ac:dyDescent="0.25">
      <c r="A523" s="8"/>
      <c r="B523" s="8"/>
      <c r="C523" s="8"/>
      <c r="D523" s="8"/>
      <c r="E523" s="8"/>
      <c r="F523" s="8"/>
      <c r="G523" s="8"/>
      <c r="H523" s="8"/>
      <c r="I523" s="8"/>
      <c r="J523" s="8"/>
      <c r="K523" s="8"/>
      <c r="L523" s="8"/>
      <c r="M523" s="8"/>
      <c r="N523" s="8"/>
      <c r="O523" s="8"/>
      <c r="P523" s="8"/>
      <c r="Q523" s="8"/>
      <c r="R523" s="8"/>
      <c r="S523" s="8"/>
      <c r="T523" s="8"/>
      <c r="U523" s="8"/>
      <c r="V523" s="8"/>
      <c r="W523" s="8"/>
    </row>
    <row r="524" spans="1:23" x14ac:dyDescent="0.25">
      <c r="A524" s="8"/>
      <c r="B524" s="8"/>
      <c r="C524" s="8"/>
      <c r="D524" s="8"/>
      <c r="E524" s="8"/>
      <c r="F524" s="8"/>
      <c r="G524" s="8"/>
      <c r="H524" s="8"/>
      <c r="I524" s="8"/>
      <c r="J524" s="8"/>
      <c r="K524" s="8"/>
      <c r="L524" s="8"/>
      <c r="M524" s="8"/>
      <c r="N524" s="8"/>
      <c r="O524" s="8"/>
      <c r="P524" s="8"/>
      <c r="Q524" s="8"/>
      <c r="R524" s="8"/>
      <c r="S524" s="8"/>
      <c r="T524" s="8"/>
      <c r="U524" s="8"/>
      <c r="V524" s="8"/>
      <c r="W524" s="8"/>
    </row>
    <row r="525" spans="1:23" x14ac:dyDescent="0.25">
      <c r="A525" s="8"/>
      <c r="B525" s="8"/>
      <c r="C525" s="8"/>
      <c r="D525" s="8"/>
      <c r="E525" s="8"/>
      <c r="F525" s="8"/>
      <c r="G525" s="8"/>
      <c r="H525" s="8"/>
      <c r="I525" s="8"/>
      <c r="J525" s="8"/>
      <c r="K525" s="8"/>
      <c r="L525" s="8"/>
      <c r="M525" s="8"/>
      <c r="N525" s="8"/>
      <c r="O525" s="8"/>
      <c r="P525" s="8"/>
      <c r="Q525" s="8"/>
      <c r="R525" s="8"/>
      <c r="S525" s="8"/>
      <c r="T525" s="8"/>
      <c r="U525" s="8"/>
      <c r="V525" s="8"/>
      <c r="W525" s="8"/>
    </row>
    <row r="526" spans="1:23" x14ac:dyDescent="0.25">
      <c r="A526" s="8"/>
      <c r="B526" s="8"/>
      <c r="C526" s="8"/>
      <c r="D526" s="8"/>
      <c r="E526" s="8"/>
      <c r="F526" s="8"/>
      <c r="G526" s="8"/>
      <c r="H526" s="8"/>
      <c r="I526" s="8"/>
      <c r="J526" s="8"/>
      <c r="K526" s="8"/>
      <c r="L526" s="8"/>
      <c r="M526" s="8"/>
      <c r="N526" s="8"/>
      <c r="O526" s="8"/>
      <c r="P526" s="8"/>
      <c r="Q526" s="8"/>
      <c r="R526" s="8"/>
      <c r="S526" s="8"/>
      <c r="T526" s="8"/>
      <c r="U526" s="8"/>
      <c r="V526" s="8"/>
      <c r="W526" s="8"/>
    </row>
    <row r="527" spans="1:23" x14ac:dyDescent="0.25">
      <c r="A527" s="8"/>
      <c r="B527" s="8"/>
      <c r="C527" s="8"/>
      <c r="D527" s="8"/>
      <c r="E527" s="8"/>
      <c r="F527" s="8"/>
      <c r="G527" s="8"/>
      <c r="H527" s="8"/>
      <c r="I527" s="8"/>
      <c r="J527" s="8"/>
      <c r="K527" s="8"/>
      <c r="L527" s="8"/>
      <c r="M527" s="8"/>
      <c r="N527" s="8"/>
      <c r="O527" s="8"/>
      <c r="P527" s="8"/>
      <c r="Q527" s="8"/>
      <c r="R527" s="8"/>
      <c r="S527" s="8"/>
      <c r="T527" s="8"/>
      <c r="U527" s="8"/>
      <c r="V527" s="8"/>
      <c r="W527" s="8"/>
    </row>
    <row r="528" spans="1:23" x14ac:dyDescent="0.25">
      <c r="A528" s="8"/>
      <c r="B528" s="8"/>
      <c r="C528" s="8"/>
      <c r="D528" s="8"/>
      <c r="E528" s="8"/>
      <c r="F528" s="8"/>
      <c r="G528" s="8"/>
      <c r="H528" s="8"/>
      <c r="I528" s="8"/>
      <c r="J528" s="8"/>
      <c r="K528" s="8"/>
      <c r="L528" s="8"/>
      <c r="M528" s="8"/>
      <c r="N528" s="8"/>
      <c r="O528" s="8"/>
      <c r="P528" s="8"/>
      <c r="Q528" s="8"/>
      <c r="R528" s="8"/>
      <c r="S528" s="8"/>
      <c r="T528" s="8"/>
      <c r="U528" s="8"/>
      <c r="V528" s="8"/>
      <c r="W528" s="8"/>
    </row>
    <row r="529" spans="1:23" x14ac:dyDescent="0.25">
      <c r="A529" s="8"/>
      <c r="B529" s="8"/>
      <c r="C529" s="8"/>
      <c r="D529" s="8"/>
      <c r="E529" s="8"/>
      <c r="F529" s="8"/>
      <c r="G529" s="8"/>
      <c r="H529" s="8"/>
      <c r="I529" s="8"/>
      <c r="J529" s="8"/>
      <c r="K529" s="8"/>
      <c r="L529" s="8"/>
      <c r="M529" s="8"/>
      <c r="N529" s="8"/>
      <c r="O529" s="8"/>
      <c r="P529" s="8"/>
      <c r="Q529" s="8"/>
      <c r="R529" s="8"/>
      <c r="S529" s="8"/>
      <c r="T529" s="8"/>
      <c r="U529" s="8"/>
      <c r="V529" s="8"/>
      <c r="W529" s="8"/>
    </row>
    <row r="530" spans="1:23" x14ac:dyDescent="0.25">
      <c r="A530" s="8"/>
      <c r="B530" s="8"/>
      <c r="C530" s="8"/>
      <c r="D530" s="8"/>
      <c r="E530" s="8"/>
      <c r="F530" s="8"/>
      <c r="G530" s="8"/>
      <c r="H530" s="8"/>
      <c r="I530" s="8"/>
      <c r="J530" s="8"/>
      <c r="K530" s="8"/>
      <c r="L530" s="8"/>
      <c r="M530" s="8"/>
      <c r="N530" s="8"/>
      <c r="O530" s="8"/>
      <c r="P530" s="8"/>
      <c r="Q530" s="8"/>
      <c r="R530" s="8"/>
      <c r="S530" s="8"/>
      <c r="T530" s="8"/>
      <c r="U530" s="8"/>
      <c r="V530" s="8"/>
      <c r="W530" s="8"/>
    </row>
    <row r="531" spans="1:23" x14ac:dyDescent="0.25">
      <c r="A531" s="8"/>
      <c r="B531" s="8"/>
      <c r="C531" s="8"/>
      <c r="D531" s="8"/>
      <c r="E531" s="8"/>
      <c r="F531" s="8"/>
      <c r="G531" s="8"/>
      <c r="H531" s="8"/>
      <c r="I531" s="8"/>
      <c r="J531" s="8"/>
      <c r="K531" s="8"/>
      <c r="L531" s="8"/>
      <c r="M531" s="8"/>
      <c r="N531" s="8"/>
      <c r="O531" s="8"/>
      <c r="P531" s="8"/>
      <c r="Q531" s="8"/>
      <c r="R531" s="8"/>
      <c r="S531" s="8"/>
      <c r="T531" s="8"/>
      <c r="U531" s="8"/>
      <c r="V531" s="8"/>
      <c r="W531" s="8"/>
    </row>
    <row r="532" spans="1:23" x14ac:dyDescent="0.25">
      <c r="A532" s="8"/>
      <c r="B532" s="8"/>
      <c r="C532" s="8"/>
      <c r="D532" s="8"/>
      <c r="E532" s="8"/>
      <c r="F532" s="8"/>
      <c r="G532" s="8"/>
      <c r="H532" s="8"/>
      <c r="I532" s="8"/>
      <c r="J532" s="8"/>
      <c r="K532" s="8"/>
      <c r="L532" s="8"/>
      <c r="M532" s="8"/>
      <c r="N532" s="8"/>
      <c r="O532" s="8"/>
      <c r="P532" s="8"/>
      <c r="Q532" s="8"/>
      <c r="R532" s="8"/>
      <c r="S532" s="8"/>
      <c r="T532" s="8"/>
      <c r="U532" s="8"/>
      <c r="V532" s="8"/>
      <c r="W532" s="8"/>
    </row>
    <row r="533" spans="1:23" x14ac:dyDescent="0.25">
      <c r="A533" s="8"/>
      <c r="B533" s="8"/>
      <c r="C533" s="8"/>
      <c r="D533" s="8"/>
      <c r="E533" s="8"/>
      <c r="F533" s="8"/>
      <c r="G533" s="8"/>
      <c r="H533" s="8"/>
      <c r="I533" s="8"/>
      <c r="J533" s="8"/>
      <c r="K533" s="8"/>
      <c r="L533" s="8"/>
      <c r="M533" s="8"/>
      <c r="N533" s="8"/>
      <c r="O533" s="8"/>
      <c r="P533" s="8"/>
      <c r="Q533" s="8"/>
      <c r="R533" s="8"/>
      <c r="S533" s="8"/>
      <c r="T533" s="8"/>
      <c r="U533" s="8"/>
      <c r="V533" s="8"/>
      <c r="W533" s="8"/>
    </row>
    <row r="534" spans="1:23" x14ac:dyDescent="0.25">
      <c r="A534" s="8"/>
      <c r="B534" s="8"/>
      <c r="C534" s="8"/>
      <c r="D534" s="8"/>
      <c r="E534" s="8"/>
      <c r="F534" s="8"/>
      <c r="G534" s="8"/>
      <c r="H534" s="8"/>
      <c r="I534" s="8"/>
      <c r="J534" s="8"/>
      <c r="K534" s="8"/>
      <c r="L534" s="8"/>
      <c r="M534" s="8"/>
      <c r="N534" s="8"/>
      <c r="O534" s="8"/>
      <c r="P534" s="8"/>
      <c r="Q534" s="8"/>
      <c r="R534" s="8"/>
      <c r="S534" s="8"/>
      <c r="T534" s="8"/>
      <c r="U534" s="8"/>
      <c r="V534" s="8"/>
      <c r="W534" s="8"/>
    </row>
    <row r="535" spans="1:23" x14ac:dyDescent="0.25">
      <c r="A535" s="8"/>
      <c r="B535" s="8"/>
      <c r="C535" s="8"/>
      <c r="D535" s="8"/>
      <c r="E535" s="8"/>
      <c r="F535" s="8"/>
      <c r="G535" s="8"/>
      <c r="H535" s="8"/>
      <c r="I535" s="8"/>
      <c r="J535" s="8"/>
      <c r="K535" s="8"/>
      <c r="L535" s="8"/>
      <c r="M535" s="8"/>
      <c r="N535" s="8"/>
      <c r="O535" s="8"/>
      <c r="P535" s="8"/>
      <c r="Q535" s="8"/>
      <c r="R535" s="8"/>
      <c r="S535" s="8"/>
      <c r="T535" s="8"/>
      <c r="U535" s="8"/>
      <c r="V535" s="8"/>
      <c r="W535" s="8"/>
    </row>
    <row r="536" spans="1:23" x14ac:dyDescent="0.25">
      <c r="A536" s="8"/>
      <c r="B536" s="8"/>
      <c r="C536" s="8"/>
      <c r="D536" s="8"/>
      <c r="E536" s="8"/>
      <c r="F536" s="8"/>
      <c r="G536" s="8"/>
      <c r="H536" s="8"/>
      <c r="I536" s="8"/>
      <c r="J536" s="8"/>
      <c r="K536" s="8"/>
      <c r="L536" s="8"/>
      <c r="M536" s="8"/>
      <c r="N536" s="8"/>
      <c r="O536" s="8"/>
      <c r="P536" s="8"/>
      <c r="Q536" s="8"/>
      <c r="R536" s="8"/>
      <c r="S536" s="8"/>
      <c r="T536" s="8"/>
      <c r="U536" s="8"/>
      <c r="V536" s="8"/>
      <c r="W536" s="8"/>
    </row>
    <row r="537" spans="1:23" x14ac:dyDescent="0.25">
      <c r="A537" s="8"/>
      <c r="B537" s="8"/>
      <c r="C537" s="8"/>
      <c r="D537" s="8"/>
      <c r="E537" s="8"/>
      <c r="F537" s="8"/>
      <c r="G537" s="8"/>
      <c r="H537" s="8"/>
      <c r="I537" s="8"/>
      <c r="J537" s="8"/>
      <c r="K537" s="8"/>
      <c r="L537" s="8"/>
      <c r="M537" s="8"/>
      <c r="N537" s="8"/>
      <c r="O537" s="8"/>
      <c r="P537" s="8"/>
      <c r="Q537" s="8"/>
      <c r="R537" s="8"/>
      <c r="S537" s="8"/>
      <c r="T537" s="8"/>
      <c r="U537" s="8"/>
      <c r="V537" s="8"/>
      <c r="W537" s="8"/>
    </row>
    <row r="538" spans="1:23" x14ac:dyDescent="0.25">
      <c r="A538" s="8"/>
      <c r="B538" s="8"/>
      <c r="C538" s="8"/>
      <c r="D538" s="8"/>
      <c r="E538" s="8"/>
      <c r="F538" s="8"/>
      <c r="G538" s="8"/>
      <c r="H538" s="8"/>
      <c r="I538" s="8"/>
      <c r="J538" s="8"/>
      <c r="K538" s="8"/>
      <c r="L538" s="8"/>
      <c r="M538" s="8"/>
      <c r="N538" s="8"/>
      <c r="O538" s="8"/>
      <c r="P538" s="8"/>
      <c r="Q538" s="8"/>
      <c r="R538" s="8"/>
      <c r="S538" s="8"/>
      <c r="T538" s="8"/>
      <c r="U538" s="8"/>
      <c r="V538" s="8"/>
      <c r="W538" s="8"/>
    </row>
    <row r="539" spans="1:23" x14ac:dyDescent="0.25">
      <c r="A539" s="8"/>
      <c r="B539" s="8"/>
      <c r="C539" s="8"/>
      <c r="D539" s="8"/>
      <c r="E539" s="8"/>
      <c r="F539" s="8"/>
      <c r="G539" s="8"/>
      <c r="H539" s="8"/>
      <c r="I539" s="8"/>
      <c r="J539" s="8"/>
      <c r="K539" s="8"/>
      <c r="L539" s="8"/>
      <c r="M539" s="8"/>
      <c r="N539" s="8"/>
      <c r="O539" s="8"/>
      <c r="P539" s="8"/>
      <c r="Q539" s="8"/>
      <c r="R539" s="8"/>
      <c r="S539" s="8"/>
      <c r="T539" s="8"/>
      <c r="U539" s="8"/>
      <c r="V539" s="8"/>
      <c r="W539" s="8"/>
    </row>
    <row r="540" spans="1:23" x14ac:dyDescent="0.25">
      <c r="A540" s="8"/>
      <c r="B540" s="8"/>
      <c r="C540" s="8"/>
      <c r="D540" s="8"/>
      <c r="E540" s="8"/>
      <c r="F540" s="8"/>
      <c r="G540" s="8"/>
      <c r="H540" s="8"/>
      <c r="I540" s="8"/>
      <c r="J540" s="8"/>
      <c r="K540" s="8"/>
      <c r="L540" s="8"/>
      <c r="M540" s="8"/>
      <c r="N540" s="8"/>
      <c r="O540" s="8"/>
      <c r="P540" s="8"/>
      <c r="Q540" s="8"/>
      <c r="R540" s="8"/>
      <c r="S540" s="8"/>
      <c r="T540" s="8"/>
      <c r="U540" s="8"/>
      <c r="V540" s="8"/>
      <c r="W540" s="8"/>
    </row>
  </sheetData>
  <mergeCells count="1">
    <mergeCell ref="B4:I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4378-0190-4D46-BC0B-CB5A3E8201B7}">
  <dimension ref="A3:B56"/>
  <sheetViews>
    <sheetView topLeftCell="A25" workbookViewId="0">
      <selection activeCell="S6" sqref="S6"/>
    </sheetView>
  </sheetViews>
  <sheetFormatPr defaultRowHeight="15" x14ac:dyDescent="0.25"/>
  <cols>
    <col min="1" max="1" width="13.140625" bestFit="1" customWidth="1"/>
    <col min="2" max="2" width="17" bestFit="1" customWidth="1"/>
  </cols>
  <sheetData>
    <row r="3" spans="1:1" x14ac:dyDescent="0.25">
      <c r="A3" t="s">
        <v>1041</v>
      </c>
    </row>
    <row r="4" spans="1:1" x14ac:dyDescent="0.25">
      <c r="A4" s="13">
        <v>322966.74900000007</v>
      </c>
    </row>
    <row r="7" spans="1:1" x14ac:dyDescent="0.25">
      <c r="A7" t="s">
        <v>1042</v>
      </c>
    </row>
    <row r="8" spans="1:1" x14ac:dyDescent="0.25">
      <c r="A8" s="12">
        <v>5510</v>
      </c>
    </row>
    <row r="11" spans="1:1" x14ac:dyDescent="0.25">
      <c r="A11" t="s">
        <v>1043</v>
      </c>
    </row>
    <row r="12" spans="1:1" x14ac:dyDescent="0.25">
      <c r="A12" s="12">
        <v>307587.38000000035</v>
      </c>
    </row>
    <row r="15" spans="1:1" x14ac:dyDescent="0.25">
      <c r="A15" t="s">
        <v>1044</v>
      </c>
    </row>
    <row r="16" spans="1:1" x14ac:dyDescent="0.25">
      <c r="A16" s="12">
        <v>6.9700581395348804</v>
      </c>
    </row>
    <row r="19" spans="1:2" x14ac:dyDescent="0.25">
      <c r="A19" s="14" t="s">
        <v>1045</v>
      </c>
      <c r="B19" t="s">
        <v>1043</v>
      </c>
    </row>
    <row r="20" spans="1:2" x14ac:dyDescent="0.25">
      <c r="A20" s="15" t="s">
        <v>1047</v>
      </c>
      <c r="B20" s="16">
        <v>29890.270000000008</v>
      </c>
    </row>
    <row r="21" spans="1:2" x14ac:dyDescent="0.25">
      <c r="A21" s="15" t="s">
        <v>1048</v>
      </c>
      <c r="B21" s="16">
        <v>21894.81</v>
      </c>
    </row>
    <row r="22" spans="1:2" x14ac:dyDescent="0.25">
      <c r="A22" s="15" t="s">
        <v>1049</v>
      </c>
      <c r="B22" s="16">
        <v>24661.159999999996</v>
      </c>
    </row>
    <row r="23" spans="1:2" x14ac:dyDescent="0.25">
      <c r="A23" s="15" t="s">
        <v>1050</v>
      </c>
      <c r="B23" s="16">
        <v>3342.2399999999993</v>
      </c>
    </row>
    <row r="24" spans="1:2" x14ac:dyDescent="0.25">
      <c r="A24" s="15" t="s">
        <v>1051</v>
      </c>
      <c r="B24" s="16">
        <v>2446.1799999999998</v>
      </c>
    </row>
    <row r="25" spans="1:2" x14ac:dyDescent="0.25">
      <c r="A25" s="15" t="s">
        <v>1052</v>
      </c>
      <c r="B25" s="16">
        <v>2758.16</v>
      </c>
    </row>
    <row r="26" spans="1:2" x14ac:dyDescent="0.25">
      <c r="A26" s="15" t="s">
        <v>1053</v>
      </c>
      <c r="B26" s="16">
        <v>3593.2899999999995</v>
      </c>
    </row>
    <row r="27" spans="1:2" x14ac:dyDescent="0.25">
      <c r="A27" s="15" t="s">
        <v>1054</v>
      </c>
      <c r="B27" s="16">
        <v>3683.08</v>
      </c>
    </row>
    <row r="28" spans="1:2" x14ac:dyDescent="0.25">
      <c r="A28" s="15" t="s">
        <v>1055</v>
      </c>
      <c r="B28" s="16">
        <v>6312.5099999999984</v>
      </c>
    </row>
    <row r="29" spans="1:2" x14ac:dyDescent="0.25">
      <c r="A29" s="15" t="s">
        <v>1056</v>
      </c>
      <c r="B29" s="16">
        <v>3155.87</v>
      </c>
    </row>
    <row r="30" spans="1:2" x14ac:dyDescent="0.25">
      <c r="A30" s="15" t="s">
        <v>1057</v>
      </c>
      <c r="B30" s="16">
        <v>3321.33</v>
      </c>
    </row>
    <row r="31" spans="1:2" x14ac:dyDescent="0.25">
      <c r="A31" s="15" t="s">
        <v>1058</v>
      </c>
      <c r="B31" s="16">
        <v>1804.5</v>
      </c>
    </row>
    <row r="32" spans="1:2" x14ac:dyDescent="0.25">
      <c r="A32" s="15" t="s">
        <v>1046</v>
      </c>
      <c r="B32" s="16">
        <v>106863.4</v>
      </c>
    </row>
    <row r="36" spans="1:2" x14ac:dyDescent="0.25">
      <c r="A36" s="14" t="s">
        <v>1045</v>
      </c>
      <c r="B36" t="s">
        <v>1043</v>
      </c>
    </row>
    <row r="37" spans="1:2" x14ac:dyDescent="0.25">
      <c r="A37" s="15" t="s">
        <v>28</v>
      </c>
      <c r="B37" s="16">
        <v>19742.840000000004</v>
      </c>
    </row>
    <row r="38" spans="1:2" x14ac:dyDescent="0.25">
      <c r="A38" s="15" t="s">
        <v>46</v>
      </c>
      <c r="B38" s="16">
        <v>16775.04</v>
      </c>
    </row>
    <row r="39" spans="1:2" x14ac:dyDescent="0.25">
      <c r="A39" s="15" t="s">
        <v>44</v>
      </c>
      <c r="B39" s="16">
        <v>18296.070000000003</v>
      </c>
    </row>
    <row r="40" spans="1:2" x14ac:dyDescent="0.25">
      <c r="A40" s="15" t="s">
        <v>22</v>
      </c>
      <c r="B40" s="16">
        <v>16370.579999999996</v>
      </c>
    </row>
    <row r="41" spans="1:2" x14ac:dyDescent="0.25">
      <c r="A41" s="15" t="s">
        <v>32</v>
      </c>
      <c r="B41" s="16">
        <v>17703.810000000001</v>
      </c>
    </row>
    <row r="42" spans="1:2" x14ac:dyDescent="0.25">
      <c r="A42" s="15" t="s">
        <v>36</v>
      </c>
      <c r="B42" s="16">
        <v>17975.060000000009</v>
      </c>
    </row>
    <row r="43" spans="1:2" x14ac:dyDescent="0.25">
      <c r="A43" s="15" t="s">
        <v>1046</v>
      </c>
      <c r="B43" s="16">
        <v>106863.40000000002</v>
      </c>
    </row>
    <row r="45" spans="1:2" x14ac:dyDescent="0.25">
      <c r="A45" s="14" t="s">
        <v>1045</v>
      </c>
      <c r="B45" t="s">
        <v>1059</v>
      </c>
    </row>
    <row r="46" spans="1:2" x14ac:dyDescent="0.25">
      <c r="A46" s="15" t="s">
        <v>29</v>
      </c>
      <c r="B46" s="12">
        <v>344</v>
      </c>
    </row>
    <row r="47" spans="1:2" x14ac:dyDescent="0.25">
      <c r="A47" s="15" t="s">
        <v>1046</v>
      </c>
      <c r="B47" s="12">
        <v>344</v>
      </c>
    </row>
    <row r="52" spans="1:2" x14ac:dyDescent="0.25">
      <c r="A52" s="14" t="s">
        <v>1045</v>
      </c>
      <c r="B52" t="s">
        <v>1044</v>
      </c>
    </row>
    <row r="53" spans="1:2" x14ac:dyDescent="0.25">
      <c r="A53" s="15" t="s">
        <v>43</v>
      </c>
      <c r="B53" s="12">
        <v>6.9981818181818198</v>
      </c>
    </row>
    <row r="54" spans="1:2" x14ac:dyDescent="0.25">
      <c r="A54" s="15" t="s">
        <v>26</v>
      </c>
      <c r="B54" s="12">
        <v>6.9733870967741947</v>
      </c>
    </row>
    <row r="55" spans="1:2" x14ac:dyDescent="0.25">
      <c r="A55" s="15" t="s">
        <v>19</v>
      </c>
      <c r="B55" s="12">
        <v>6.9381818181818238</v>
      </c>
    </row>
    <row r="56" spans="1:2" x14ac:dyDescent="0.25">
      <c r="A56" s="15" t="s">
        <v>1046</v>
      </c>
      <c r="B56" s="12">
        <v>6.9700581395348795</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A2" workbookViewId="0">
      <selection activeCell="B3" sqref="B3"/>
    </sheetView>
  </sheetViews>
  <sheetFormatPr defaultColWidth="14.42578125" defaultRowHeight="15" customHeight="1" x14ac:dyDescent="0.25"/>
  <cols>
    <col min="1" max="1" width="11.85546875" customWidth="1"/>
    <col min="2" max="2" width="9.140625" customWidth="1"/>
    <col min="3" max="3" width="8.7109375" customWidth="1"/>
    <col min="4" max="4" width="16.140625" customWidth="1"/>
    <col min="5" max="5" width="9.85546875" customWidth="1"/>
    <col min="6" max="6" width="13.85546875" customWidth="1"/>
    <col min="7" max="7" width="11.85546875" customWidth="1"/>
    <col min="8" max="8" width="10.85546875" customWidth="1"/>
    <col min="9" max="9" width="9.140625" customWidth="1"/>
    <col min="10" max="10" width="8.7109375" customWidth="1"/>
    <col min="11" max="11" width="12.7109375" customWidth="1"/>
    <col min="12" max="12" width="8.7109375" customWidth="1"/>
    <col min="13" max="13" width="11" customWidth="1"/>
    <col min="14" max="14" width="8.7109375" customWidth="1"/>
    <col min="15" max="15" width="24.7109375" customWidth="1"/>
    <col min="16" max="16" width="14.7109375" customWidth="1"/>
    <col min="17" max="26" width="8.7109375" customWidth="1"/>
  </cols>
  <sheetData>
    <row r="1" spans="1:17"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ustomHeight="1" x14ac:dyDescent="0.25">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customHeight="1" x14ac:dyDescent="0.25">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customHeight="1" x14ac:dyDescent="0.25">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customHeight="1" x14ac:dyDescent="0.25">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customHeight="1" x14ac:dyDescent="0.25">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customHeight="1" x14ac:dyDescent="0.25">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x14ac:dyDescent="0.25">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customHeight="1" x14ac:dyDescent="0.25">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customHeight="1" x14ac:dyDescent="0.25">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customHeight="1" x14ac:dyDescent="0.25">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customHeight="1" x14ac:dyDescent="0.25">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customHeight="1" x14ac:dyDescent="0.25">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x14ac:dyDescent="0.25">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customHeight="1" x14ac:dyDescent="0.25">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customHeight="1" x14ac:dyDescent="0.25">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customHeight="1" x14ac:dyDescent="0.25">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customHeight="1" x14ac:dyDescent="0.25">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customHeight="1" x14ac:dyDescent="0.25">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customHeight="1" x14ac:dyDescent="0.25">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customHeight="1" x14ac:dyDescent="0.25">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customHeight="1" x14ac:dyDescent="0.25">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customHeight="1" x14ac:dyDescent="0.25">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customHeight="1" x14ac:dyDescent="0.25">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x14ac:dyDescent="0.25">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customHeight="1" x14ac:dyDescent="0.25">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customHeight="1" x14ac:dyDescent="0.25">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customHeight="1" x14ac:dyDescent="0.25">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customHeight="1" x14ac:dyDescent="0.25">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customHeight="1" x14ac:dyDescent="0.25">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customHeight="1" x14ac:dyDescent="0.25">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customHeight="1" x14ac:dyDescent="0.25">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customHeight="1" x14ac:dyDescent="0.25">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customHeight="1" x14ac:dyDescent="0.25">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customHeight="1" x14ac:dyDescent="0.25">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customHeight="1" x14ac:dyDescent="0.25">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customHeight="1" x14ac:dyDescent="0.25">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customHeight="1" x14ac:dyDescent="0.25">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x14ac:dyDescent="0.25">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customHeight="1" x14ac:dyDescent="0.25">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customHeight="1" x14ac:dyDescent="0.25">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customHeight="1" x14ac:dyDescent="0.25">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customHeight="1" x14ac:dyDescent="0.25">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customHeight="1" x14ac:dyDescent="0.25">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customHeight="1" x14ac:dyDescent="0.25">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customHeight="1" x14ac:dyDescent="0.25">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customHeight="1" x14ac:dyDescent="0.25">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customHeight="1" x14ac:dyDescent="0.25">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customHeight="1" x14ac:dyDescent="0.25">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customHeight="1" x14ac:dyDescent="0.25">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customHeight="1" x14ac:dyDescent="0.25">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customHeight="1" x14ac:dyDescent="0.25">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customHeight="1" x14ac:dyDescent="0.25">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customHeight="1" x14ac:dyDescent="0.25">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customHeight="1" x14ac:dyDescent="0.25">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customHeight="1" x14ac:dyDescent="0.25">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customHeight="1" x14ac:dyDescent="0.25">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customHeight="1" x14ac:dyDescent="0.25">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customHeight="1" x14ac:dyDescent="0.25">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customHeight="1" x14ac:dyDescent="0.25">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customHeight="1" x14ac:dyDescent="0.25">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customHeight="1" x14ac:dyDescent="0.25">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customHeight="1" x14ac:dyDescent="0.25">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customHeight="1" x14ac:dyDescent="0.25">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customHeight="1" x14ac:dyDescent="0.25">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customHeight="1" x14ac:dyDescent="0.25">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customHeight="1" x14ac:dyDescent="0.25">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customHeight="1" x14ac:dyDescent="0.25">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customHeight="1" x14ac:dyDescent="0.25">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customHeight="1" x14ac:dyDescent="0.25">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customHeight="1" x14ac:dyDescent="0.25">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customHeight="1" x14ac:dyDescent="0.25">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customHeight="1" x14ac:dyDescent="0.25">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customHeight="1" x14ac:dyDescent="0.25">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customHeight="1" x14ac:dyDescent="0.25">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customHeight="1" x14ac:dyDescent="0.25">
      <c r="A76" s="2" t="s">
        <v>110</v>
      </c>
      <c r="B76" s="2" t="s">
        <v>18</v>
      </c>
      <c r="C76" s="2" t="s">
        <v>19</v>
      </c>
      <c r="D76" s="2"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customHeight="1" x14ac:dyDescent="0.25">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customHeight="1" x14ac:dyDescent="0.25">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customHeight="1" x14ac:dyDescent="0.25">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customHeight="1" x14ac:dyDescent="0.25">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customHeight="1" x14ac:dyDescent="0.25">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customHeight="1" x14ac:dyDescent="0.25">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customHeight="1" x14ac:dyDescent="0.25">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customHeight="1" x14ac:dyDescent="0.25">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customHeight="1" x14ac:dyDescent="0.25">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customHeight="1" x14ac:dyDescent="0.25">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customHeight="1" x14ac:dyDescent="0.25">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customHeight="1" x14ac:dyDescent="0.25">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customHeight="1" x14ac:dyDescent="0.25">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customHeight="1" x14ac:dyDescent="0.25">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customHeight="1" x14ac:dyDescent="0.25">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customHeight="1" x14ac:dyDescent="0.25">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customHeight="1" x14ac:dyDescent="0.25">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customHeight="1" x14ac:dyDescent="0.25">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customHeight="1" x14ac:dyDescent="0.25">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customHeight="1" x14ac:dyDescent="0.25">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x14ac:dyDescent="0.25">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customHeight="1" x14ac:dyDescent="0.25">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customHeight="1" x14ac:dyDescent="0.25">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customHeight="1" x14ac:dyDescent="0.25">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customHeight="1" x14ac:dyDescent="0.25">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customHeight="1" x14ac:dyDescent="0.25">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customHeight="1" x14ac:dyDescent="0.25">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customHeight="1" x14ac:dyDescent="0.25">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customHeight="1" x14ac:dyDescent="0.25">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customHeight="1" x14ac:dyDescent="0.25">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x14ac:dyDescent="0.25">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customHeight="1" x14ac:dyDescent="0.25">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customHeight="1" x14ac:dyDescent="0.25">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customHeight="1" x14ac:dyDescent="0.25">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customHeight="1" x14ac:dyDescent="0.25">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customHeight="1" x14ac:dyDescent="0.25">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customHeight="1" x14ac:dyDescent="0.25">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customHeight="1" x14ac:dyDescent="0.25">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customHeight="1" x14ac:dyDescent="0.25">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customHeight="1" x14ac:dyDescent="0.25">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customHeight="1" x14ac:dyDescent="0.25">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customHeight="1" x14ac:dyDescent="0.25">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customHeight="1" x14ac:dyDescent="0.25">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customHeight="1" x14ac:dyDescent="0.25">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customHeight="1" x14ac:dyDescent="0.25">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x14ac:dyDescent="0.25">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customHeight="1" x14ac:dyDescent="0.25">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customHeight="1" x14ac:dyDescent="0.25">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customHeight="1" x14ac:dyDescent="0.25">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customHeight="1" x14ac:dyDescent="0.25">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customHeight="1" x14ac:dyDescent="0.25">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customHeight="1" x14ac:dyDescent="0.25">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customHeight="1" x14ac:dyDescent="0.25">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customHeight="1" x14ac:dyDescent="0.25">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customHeight="1" x14ac:dyDescent="0.25">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customHeight="1" x14ac:dyDescent="0.25">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customHeight="1" x14ac:dyDescent="0.25">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customHeight="1" x14ac:dyDescent="0.25">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customHeight="1" x14ac:dyDescent="0.25">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customHeight="1" x14ac:dyDescent="0.25">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customHeight="1" x14ac:dyDescent="0.25">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x14ac:dyDescent="0.25">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customHeight="1" x14ac:dyDescent="0.25">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customHeight="1" x14ac:dyDescent="0.25">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customHeight="1" x14ac:dyDescent="0.25">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customHeight="1" x14ac:dyDescent="0.25">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customHeight="1" x14ac:dyDescent="0.25">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customHeight="1" x14ac:dyDescent="0.25">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customHeight="1" x14ac:dyDescent="0.25">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customHeight="1" x14ac:dyDescent="0.25">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customHeight="1" x14ac:dyDescent="0.25">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customHeight="1" x14ac:dyDescent="0.25">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customHeight="1" x14ac:dyDescent="0.25">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customHeight="1" x14ac:dyDescent="0.25">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customHeight="1" x14ac:dyDescent="0.25">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customHeight="1" x14ac:dyDescent="0.25">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customHeight="1" x14ac:dyDescent="0.25">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customHeight="1" x14ac:dyDescent="0.25">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customHeight="1" x14ac:dyDescent="0.25">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customHeight="1" x14ac:dyDescent="0.25">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customHeight="1" x14ac:dyDescent="0.25">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customHeight="1" x14ac:dyDescent="0.25">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customHeight="1" x14ac:dyDescent="0.25">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customHeight="1" x14ac:dyDescent="0.25">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customHeight="1" x14ac:dyDescent="0.25">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customHeight="1" x14ac:dyDescent="0.25">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customHeight="1" x14ac:dyDescent="0.25">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customHeight="1" x14ac:dyDescent="0.25">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customHeight="1" x14ac:dyDescent="0.25">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customHeight="1" x14ac:dyDescent="0.25">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customHeight="1" x14ac:dyDescent="0.25">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customHeight="1" x14ac:dyDescent="0.25">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customHeight="1" x14ac:dyDescent="0.25">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customHeight="1" x14ac:dyDescent="0.25">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customHeight="1" x14ac:dyDescent="0.25">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customHeight="1" x14ac:dyDescent="0.25">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customHeight="1" x14ac:dyDescent="0.25">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customHeight="1" x14ac:dyDescent="0.25">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customHeight="1" x14ac:dyDescent="0.25">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customHeight="1" x14ac:dyDescent="0.25">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customHeight="1" x14ac:dyDescent="0.25">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customHeight="1" x14ac:dyDescent="0.25">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customHeight="1" x14ac:dyDescent="0.25">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customHeight="1" x14ac:dyDescent="0.25">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customHeight="1" x14ac:dyDescent="0.25">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customHeight="1" x14ac:dyDescent="0.25">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customHeight="1" x14ac:dyDescent="0.25">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customHeight="1" x14ac:dyDescent="0.25">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customHeight="1" x14ac:dyDescent="0.25">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customHeight="1" x14ac:dyDescent="0.25">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customHeight="1" x14ac:dyDescent="0.25">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customHeight="1" x14ac:dyDescent="0.25">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customHeight="1" x14ac:dyDescent="0.25">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customHeight="1" x14ac:dyDescent="0.25">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customHeight="1" x14ac:dyDescent="0.25">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customHeight="1" x14ac:dyDescent="0.25">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customHeight="1" x14ac:dyDescent="0.25">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customHeight="1" x14ac:dyDescent="0.25">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customHeight="1" x14ac:dyDescent="0.25">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x14ac:dyDescent="0.25">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customHeight="1" x14ac:dyDescent="0.25">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customHeight="1" x14ac:dyDescent="0.25">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customHeight="1" x14ac:dyDescent="0.25">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customHeight="1" x14ac:dyDescent="0.25">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customHeight="1" x14ac:dyDescent="0.25">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customHeight="1" x14ac:dyDescent="0.25">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customHeight="1" x14ac:dyDescent="0.25">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customHeight="1" x14ac:dyDescent="0.25">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customHeight="1" x14ac:dyDescent="0.25">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customHeight="1" x14ac:dyDescent="0.25">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customHeight="1" x14ac:dyDescent="0.25">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customHeight="1" x14ac:dyDescent="0.25">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customHeight="1" x14ac:dyDescent="0.25">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customHeight="1" x14ac:dyDescent="0.25">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customHeight="1" x14ac:dyDescent="0.25">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x14ac:dyDescent="0.25">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customHeight="1" x14ac:dyDescent="0.25">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customHeight="1" x14ac:dyDescent="0.25">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customHeight="1" x14ac:dyDescent="0.25">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customHeight="1" x14ac:dyDescent="0.25">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customHeight="1" x14ac:dyDescent="0.25">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customHeight="1" x14ac:dyDescent="0.25">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x14ac:dyDescent="0.25">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customHeight="1" x14ac:dyDescent="0.25">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customHeight="1" x14ac:dyDescent="0.25">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customHeight="1" x14ac:dyDescent="0.25">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customHeight="1" x14ac:dyDescent="0.25">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customHeight="1" x14ac:dyDescent="0.25">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customHeight="1" x14ac:dyDescent="0.25">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customHeight="1" x14ac:dyDescent="0.25">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customHeight="1" x14ac:dyDescent="0.25">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customHeight="1" x14ac:dyDescent="0.25">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customHeight="1" x14ac:dyDescent="0.25">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customHeight="1" x14ac:dyDescent="0.25">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customHeight="1" x14ac:dyDescent="0.25">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customHeight="1" x14ac:dyDescent="0.25">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customHeight="1" x14ac:dyDescent="0.25">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customHeight="1" x14ac:dyDescent="0.25">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customHeight="1" x14ac:dyDescent="0.25">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customHeight="1" x14ac:dyDescent="0.25">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customHeight="1" x14ac:dyDescent="0.25">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customHeight="1" x14ac:dyDescent="0.25">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customHeight="1" x14ac:dyDescent="0.25">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customHeight="1" x14ac:dyDescent="0.25">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customHeight="1" x14ac:dyDescent="0.25">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customHeight="1" x14ac:dyDescent="0.25">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customHeight="1" x14ac:dyDescent="0.25">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customHeight="1" x14ac:dyDescent="0.25">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customHeight="1" x14ac:dyDescent="0.25">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customHeight="1" x14ac:dyDescent="0.25">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customHeight="1" x14ac:dyDescent="0.25">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customHeight="1" x14ac:dyDescent="0.25">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customHeight="1" x14ac:dyDescent="0.25">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x14ac:dyDescent="0.25">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customHeight="1" x14ac:dyDescent="0.25">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customHeight="1" x14ac:dyDescent="0.25">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customHeight="1" x14ac:dyDescent="0.25">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customHeight="1" x14ac:dyDescent="0.25">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customHeight="1" x14ac:dyDescent="0.25">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customHeight="1" x14ac:dyDescent="0.25">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customHeight="1" x14ac:dyDescent="0.25">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x14ac:dyDescent="0.25">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customHeight="1" x14ac:dyDescent="0.25">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x14ac:dyDescent="0.25">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customHeight="1" x14ac:dyDescent="0.25">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x14ac:dyDescent="0.25">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customHeight="1" x14ac:dyDescent="0.25">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customHeight="1" x14ac:dyDescent="0.25">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customHeight="1" x14ac:dyDescent="0.25">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customHeight="1" x14ac:dyDescent="0.25">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customHeight="1" x14ac:dyDescent="0.25">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customHeight="1" x14ac:dyDescent="0.25">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customHeight="1" x14ac:dyDescent="0.25">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customHeight="1" x14ac:dyDescent="0.25">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customHeight="1" x14ac:dyDescent="0.25">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customHeight="1" x14ac:dyDescent="0.25">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customHeight="1" x14ac:dyDescent="0.25">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customHeight="1" x14ac:dyDescent="0.25">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customHeight="1" x14ac:dyDescent="0.25">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customHeight="1" x14ac:dyDescent="0.25">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customHeight="1" x14ac:dyDescent="0.25">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customHeight="1" x14ac:dyDescent="0.25">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customHeight="1" x14ac:dyDescent="0.25">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customHeight="1" x14ac:dyDescent="0.25">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customHeight="1" x14ac:dyDescent="0.25">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customHeight="1" x14ac:dyDescent="0.25">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customHeight="1" x14ac:dyDescent="0.25">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customHeight="1" x14ac:dyDescent="0.25">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customHeight="1" x14ac:dyDescent="0.25">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customHeight="1" x14ac:dyDescent="0.25">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customHeight="1" x14ac:dyDescent="0.25">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customHeight="1" x14ac:dyDescent="0.25">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customHeight="1" x14ac:dyDescent="0.25">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customHeight="1" x14ac:dyDescent="0.25">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customHeight="1" x14ac:dyDescent="0.25">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customHeight="1" x14ac:dyDescent="0.25">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customHeight="1" x14ac:dyDescent="0.25">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x14ac:dyDescent="0.25">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customHeight="1" x14ac:dyDescent="0.25">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customHeight="1" x14ac:dyDescent="0.25">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customHeight="1" x14ac:dyDescent="0.25">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customHeight="1" x14ac:dyDescent="0.25">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customHeight="1" x14ac:dyDescent="0.25">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customHeight="1" x14ac:dyDescent="0.25">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customHeight="1" x14ac:dyDescent="0.25">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customHeight="1" x14ac:dyDescent="0.25">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customHeight="1" x14ac:dyDescent="0.25">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customHeight="1" x14ac:dyDescent="0.25">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x14ac:dyDescent="0.25">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customHeight="1" x14ac:dyDescent="0.25">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x14ac:dyDescent="0.25">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customHeight="1" x14ac:dyDescent="0.25">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customHeight="1" x14ac:dyDescent="0.25">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x14ac:dyDescent="0.25">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customHeight="1" x14ac:dyDescent="0.25">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customHeight="1" x14ac:dyDescent="0.25">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customHeight="1" x14ac:dyDescent="0.25">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customHeight="1" x14ac:dyDescent="0.25">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customHeight="1" x14ac:dyDescent="0.25">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customHeight="1" x14ac:dyDescent="0.25">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customHeight="1" x14ac:dyDescent="0.25">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customHeight="1" x14ac:dyDescent="0.25">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customHeight="1" x14ac:dyDescent="0.25">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customHeight="1" x14ac:dyDescent="0.25">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customHeight="1" x14ac:dyDescent="0.25">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customHeight="1" x14ac:dyDescent="0.25">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customHeight="1" x14ac:dyDescent="0.25">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customHeight="1" x14ac:dyDescent="0.25">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customHeight="1" x14ac:dyDescent="0.25">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customHeight="1" x14ac:dyDescent="0.25">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customHeight="1" x14ac:dyDescent="0.25">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customHeight="1" x14ac:dyDescent="0.25">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customHeight="1" x14ac:dyDescent="0.25">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customHeight="1" x14ac:dyDescent="0.25">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x14ac:dyDescent="0.25">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customHeight="1" x14ac:dyDescent="0.25">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customHeight="1" x14ac:dyDescent="0.25">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customHeight="1" x14ac:dyDescent="0.25">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customHeight="1" x14ac:dyDescent="0.25">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customHeight="1" x14ac:dyDescent="0.25">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x14ac:dyDescent="0.25">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customHeight="1" x14ac:dyDescent="0.25">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customHeight="1" x14ac:dyDescent="0.25">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customHeight="1" x14ac:dyDescent="0.25">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customHeight="1" x14ac:dyDescent="0.25">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customHeight="1" x14ac:dyDescent="0.25">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customHeight="1" x14ac:dyDescent="0.25">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customHeight="1" x14ac:dyDescent="0.25">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customHeight="1" x14ac:dyDescent="0.25">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customHeight="1" x14ac:dyDescent="0.25">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customHeight="1" x14ac:dyDescent="0.25">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x14ac:dyDescent="0.25">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customHeight="1" x14ac:dyDescent="0.25">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x14ac:dyDescent="0.25">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customHeight="1" x14ac:dyDescent="0.25">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customHeight="1" x14ac:dyDescent="0.25">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x14ac:dyDescent="0.25">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customHeight="1" x14ac:dyDescent="0.25">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customHeight="1" x14ac:dyDescent="0.25">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customHeight="1" x14ac:dyDescent="0.25">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customHeight="1" x14ac:dyDescent="0.25">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customHeight="1" x14ac:dyDescent="0.25">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customHeight="1" x14ac:dyDescent="0.25">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customHeight="1" x14ac:dyDescent="0.25">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customHeight="1" x14ac:dyDescent="0.25">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customHeight="1" x14ac:dyDescent="0.25">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customHeight="1" x14ac:dyDescent="0.25">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customHeight="1" x14ac:dyDescent="0.25">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customHeight="1" x14ac:dyDescent="0.25">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customHeight="1" x14ac:dyDescent="0.25">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customHeight="1" x14ac:dyDescent="0.25">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customHeight="1" x14ac:dyDescent="0.25">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customHeight="1" x14ac:dyDescent="0.25">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customHeight="1" x14ac:dyDescent="0.25">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x14ac:dyDescent="0.25">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customHeight="1" x14ac:dyDescent="0.25">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customHeight="1" x14ac:dyDescent="0.25">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customHeight="1" x14ac:dyDescent="0.25">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customHeight="1" x14ac:dyDescent="0.25">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customHeight="1" x14ac:dyDescent="0.25">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customHeight="1" x14ac:dyDescent="0.25">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customHeight="1" x14ac:dyDescent="0.25">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customHeight="1" x14ac:dyDescent="0.25">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customHeight="1" x14ac:dyDescent="0.25">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customHeight="1" x14ac:dyDescent="0.25">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customHeight="1" x14ac:dyDescent="0.25">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customHeight="1" x14ac:dyDescent="0.25">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customHeight="1" x14ac:dyDescent="0.25">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customHeight="1" x14ac:dyDescent="0.25">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customHeight="1" x14ac:dyDescent="0.25">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customHeight="1" x14ac:dyDescent="0.25">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customHeight="1" x14ac:dyDescent="0.25">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customHeight="1" x14ac:dyDescent="0.25">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customHeight="1" x14ac:dyDescent="0.25">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customHeight="1" x14ac:dyDescent="0.25">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customHeight="1" x14ac:dyDescent="0.25">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customHeight="1" x14ac:dyDescent="0.25">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x14ac:dyDescent="0.25">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customHeight="1" x14ac:dyDescent="0.25">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customHeight="1" x14ac:dyDescent="0.25">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customHeight="1" x14ac:dyDescent="0.25">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customHeight="1" x14ac:dyDescent="0.25">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customHeight="1" x14ac:dyDescent="0.25">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customHeight="1" x14ac:dyDescent="0.25">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customHeight="1" x14ac:dyDescent="0.25">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customHeight="1" x14ac:dyDescent="0.25">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customHeight="1" x14ac:dyDescent="0.25">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customHeight="1" x14ac:dyDescent="0.25">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customHeight="1" x14ac:dyDescent="0.25">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customHeight="1" x14ac:dyDescent="0.25">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customHeight="1" x14ac:dyDescent="0.25">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customHeight="1" x14ac:dyDescent="0.25">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customHeight="1" x14ac:dyDescent="0.25">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customHeight="1" x14ac:dyDescent="0.25">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customHeight="1" x14ac:dyDescent="0.25">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customHeight="1" x14ac:dyDescent="0.25">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customHeight="1" x14ac:dyDescent="0.25">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customHeight="1" x14ac:dyDescent="0.25">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customHeight="1" x14ac:dyDescent="0.25">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customHeight="1" x14ac:dyDescent="0.25">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customHeight="1" x14ac:dyDescent="0.25">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customHeight="1" x14ac:dyDescent="0.25">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customHeight="1" x14ac:dyDescent="0.25">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customHeight="1" x14ac:dyDescent="0.25">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x14ac:dyDescent="0.25">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customHeight="1" x14ac:dyDescent="0.25">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customHeight="1" x14ac:dyDescent="0.25">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customHeight="1" x14ac:dyDescent="0.25">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customHeight="1" x14ac:dyDescent="0.25">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customHeight="1" x14ac:dyDescent="0.25">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customHeight="1" x14ac:dyDescent="0.25">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customHeight="1" x14ac:dyDescent="0.25">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customHeight="1" x14ac:dyDescent="0.25">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customHeight="1" x14ac:dyDescent="0.25">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customHeight="1" x14ac:dyDescent="0.25">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customHeight="1" x14ac:dyDescent="0.25">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customHeight="1" x14ac:dyDescent="0.25">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x14ac:dyDescent="0.25">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customHeight="1" x14ac:dyDescent="0.25">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customHeight="1" x14ac:dyDescent="0.25">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customHeight="1" x14ac:dyDescent="0.25">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customHeight="1" x14ac:dyDescent="0.25">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customHeight="1" x14ac:dyDescent="0.25">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customHeight="1" x14ac:dyDescent="0.25">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customHeight="1" x14ac:dyDescent="0.25">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customHeight="1" x14ac:dyDescent="0.25">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customHeight="1" x14ac:dyDescent="0.25">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customHeight="1" x14ac:dyDescent="0.25">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customHeight="1" x14ac:dyDescent="0.25">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customHeight="1" x14ac:dyDescent="0.25">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customHeight="1" x14ac:dyDescent="0.25">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customHeight="1" x14ac:dyDescent="0.25">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customHeight="1" x14ac:dyDescent="0.25">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customHeight="1" x14ac:dyDescent="0.25">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customHeight="1" x14ac:dyDescent="0.25">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customHeight="1" x14ac:dyDescent="0.25">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customHeight="1" x14ac:dyDescent="0.25">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customHeight="1" x14ac:dyDescent="0.25">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customHeight="1" x14ac:dyDescent="0.25">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x14ac:dyDescent="0.25">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customHeight="1" x14ac:dyDescent="0.25">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customHeight="1" x14ac:dyDescent="0.25">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customHeight="1" x14ac:dyDescent="0.25">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customHeight="1" x14ac:dyDescent="0.25">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customHeight="1" x14ac:dyDescent="0.25">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customHeight="1" x14ac:dyDescent="0.25">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customHeight="1" x14ac:dyDescent="0.25">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customHeight="1" x14ac:dyDescent="0.25">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customHeight="1" x14ac:dyDescent="0.25">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customHeight="1" x14ac:dyDescent="0.25">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customHeight="1" x14ac:dyDescent="0.25">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customHeight="1" x14ac:dyDescent="0.25">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customHeight="1" x14ac:dyDescent="0.25">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customHeight="1" x14ac:dyDescent="0.25">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customHeight="1" x14ac:dyDescent="0.25">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customHeight="1" x14ac:dyDescent="0.25">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customHeight="1" x14ac:dyDescent="0.25">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customHeight="1" x14ac:dyDescent="0.25">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customHeight="1" x14ac:dyDescent="0.25">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x14ac:dyDescent="0.25">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customHeight="1" x14ac:dyDescent="0.25">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customHeight="1" x14ac:dyDescent="0.25">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customHeight="1" x14ac:dyDescent="0.25">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customHeight="1" x14ac:dyDescent="0.25">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x14ac:dyDescent="0.25">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customHeight="1" x14ac:dyDescent="0.25">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customHeight="1" x14ac:dyDescent="0.25">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customHeight="1" x14ac:dyDescent="0.25">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customHeight="1" x14ac:dyDescent="0.25">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customHeight="1" x14ac:dyDescent="0.25">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customHeight="1" x14ac:dyDescent="0.25">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customHeight="1" x14ac:dyDescent="0.25">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customHeight="1" x14ac:dyDescent="0.25">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customHeight="1" x14ac:dyDescent="0.25">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customHeight="1" x14ac:dyDescent="0.25">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customHeight="1" x14ac:dyDescent="0.25">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customHeight="1" x14ac:dyDescent="0.25">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customHeight="1" x14ac:dyDescent="0.25">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customHeight="1" x14ac:dyDescent="0.25">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customHeight="1" x14ac:dyDescent="0.25">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customHeight="1" x14ac:dyDescent="0.25">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customHeight="1" x14ac:dyDescent="0.25">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customHeight="1" x14ac:dyDescent="0.25">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customHeight="1" x14ac:dyDescent="0.25">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customHeight="1" x14ac:dyDescent="0.25">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customHeight="1" x14ac:dyDescent="0.25">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customHeight="1" x14ac:dyDescent="0.25">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customHeight="1" x14ac:dyDescent="0.25">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customHeight="1" x14ac:dyDescent="0.25">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customHeight="1" x14ac:dyDescent="0.25">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x14ac:dyDescent="0.25">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customHeight="1" x14ac:dyDescent="0.25">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customHeight="1" x14ac:dyDescent="0.25">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customHeight="1" x14ac:dyDescent="0.25">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customHeight="1" x14ac:dyDescent="0.25">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customHeight="1" x14ac:dyDescent="0.25">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customHeight="1" x14ac:dyDescent="0.25">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customHeight="1" x14ac:dyDescent="0.25">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x14ac:dyDescent="0.25">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customHeight="1" x14ac:dyDescent="0.25">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customHeight="1" x14ac:dyDescent="0.25">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customHeight="1" x14ac:dyDescent="0.25">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customHeight="1" x14ac:dyDescent="0.25">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customHeight="1" x14ac:dyDescent="0.25">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customHeight="1" x14ac:dyDescent="0.25">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customHeight="1" x14ac:dyDescent="0.25">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customHeight="1" x14ac:dyDescent="0.25">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customHeight="1" x14ac:dyDescent="0.25">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customHeight="1" x14ac:dyDescent="0.25">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customHeight="1" x14ac:dyDescent="0.25">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customHeight="1" x14ac:dyDescent="0.25">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customHeight="1" x14ac:dyDescent="0.25">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customHeight="1" x14ac:dyDescent="0.25">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customHeight="1" x14ac:dyDescent="0.25">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customHeight="1" x14ac:dyDescent="0.25">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customHeight="1" x14ac:dyDescent="0.25">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customHeight="1" x14ac:dyDescent="0.25">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customHeight="1" x14ac:dyDescent="0.25">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customHeight="1" x14ac:dyDescent="0.25">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customHeight="1" x14ac:dyDescent="0.25">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customHeight="1" x14ac:dyDescent="0.25">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customHeight="1" x14ac:dyDescent="0.25">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customHeight="1" x14ac:dyDescent="0.25">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customHeight="1" x14ac:dyDescent="0.25">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customHeight="1" x14ac:dyDescent="0.25">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customHeight="1" x14ac:dyDescent="0.25">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customHeight="1" x14ac:dyDescent="0.25">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customHeight="1" x14ac:dyDescent="0.25">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customHeight="1" x14ac:dyDescent="0.25">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customHeight="1" x14ac:dyDescent="0.25">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customHeight="1" x14ac:dyDescent="0.25">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customHeight="1" x14ac:dyDescent="0.25">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customHeight="1" x14ac:dyDescent="0.25">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customHeight="1" x14ac:dyDescent="0.25">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x14ac:dyDescent="0.25">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customHeight="1" x14ac:dyDescent="0.25">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customHeight="1" x14ac:dyDescent="0.25">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customHeight="1" x14ac:dyDescent="0.25">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customHeight="1" x14ac:dyDescent="0.25">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x14ac:dyDescent="0.25">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customHeight="1" x14ac:dyDescent="0.25">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customHeight="1" x14ac:dyDescent="0.25">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customHeight="1" x14ac:dyDescent="0.25">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customHeight="1" x14ac:dyDescent="0.25">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customHeight="1" x14ac:dyDescent="0.25">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customHeight="1" x14ac:dyDescent="0.25">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customHeight="1" x14ac:dyDescent="0.25">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customHeight="1" x14ac:dyDescent="0.25">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x14ac:dyDescent="0.25">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customHeight="1" x14ac:dyDescent="0.25">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customHeight="1" x14ac:dyDescent="0.25">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customHeight="1" x14ac:dyDescent="0.25">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customHeight="1" x14ac:dyDescent="0.25">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customHeight="1" x14ac:dyDescent="0.25">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customHeight="1" x14ac:dyDescent="0.25">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customHeight="1" x14ac:dyDescent="0.25">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customHeight="1" x14ac:dyDescent="0.25">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customHeight="1" x14ac:dyDescent="0.25">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customHeight="1" x14ac:dyDescent="0.25">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customHeight="1" x14ac:dyDescent="0.25">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customHeight="1" x14ac:dyDescent="0.25">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customHeight="1" x14ac:dyDescent="0.25">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customHeight="1" x14ac:dyDescent="0.25">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customHeight="1" x14ac:dyDescent="0.25">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customHeight="1" x14ac:dyDescent="0.25">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customHeight="1" x14ac:dyDescent="0.25">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customHeight="1" x14ac:dyDescent="0.25">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customHeight="1" x14ac:dyDescent="0.25">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customHeight="1" x14ac:dyDescent="0.25">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customHeight="1" x14ac:dyDescent="0.25">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customHeight="1" x14ac:dyDescent="0.25">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customHeight="1" x14ac:dyDescent="0.25">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customHeight="1" x14ac:dyDescent="0.25">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customHeight="1" x14ac:dyDescent="0.25">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customHeight="1" x14ac:dyDescent="0.25">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customHeight="1" x14ac:dyDescent="0.25">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customHeight="1" x14ac:dyDescent="0.25">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customHeight="1" x14ac:dyDescent="0.25">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customHeight="1" x14ac:dyDescent="0.25">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customHeight="1" x14ac:dyDescent="0.25">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customHeight="1" x14ac:dyDescent="0.25">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customHeight="1" x14ac:dyDescent="0.25">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customHeight="1" x14ac:dyDescent="0.25">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customHeight="1" x14ac:dyDescent="0.25">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customHeight="1" x14ac:dyDescent="0.25">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customHeight="1" x14ac:dyDescent="0.25">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customHeight="1" x14ac:dyDescent="0.25">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customHeight="1" x14ac:dyDescent="0.25">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customHeight="1" x14ac:dyDescent="0.25">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customHeight="1" x14ac:dyDescent="0.25">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customHeight="1" x14ac:dyDescent="0.25">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customHeight="1" x14ac:dyDescent="0.25">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customHeight="1" x14ac:dyDescent="0.25">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customHeight="1" x14ac:dyDescent="0.25">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customHeight="1" x14ac:dyDescent="0.25">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x14ac:dyDescent="0.25">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customHeight="1" x14ac:dyDescent="0.25">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customHeight="1" x14ac:dyDescent="0.25">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customHeight="1" x14ac:dyDescent="0.25">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customHeight="1" x14ac:dyDescent="0.25">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customHeight="1" x14ac:dyDescent="0.25">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customHeight="1" x14ac:dyDescent="0.25">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customHeight="1" x14ac:dyDescent="0.25">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customHeight="1" x14ac:dyDescent="0.25">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customHeight="1" x14ac:dyDescent="0.25">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customHeight="1" x14ac:dyDescent="0.25">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customHeight="1" x14ac:dyDescent="0.25">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customHeight="1" x14ac:dyDescent="0.25">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customHeight="1" x14ac:dyDescent="0.25">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customHeight="1" x14ac:dyDescent="0.25">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customHeight="1" x14ac:dyDescent="0.25">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customHeight="1" x14ac:dyDescent="0.25">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customHeight="1" x14ac:dyDescent="0.25">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customHeight="1" x14ac:dyDescent="0.25">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customHeight="1" x14ac:dyDescent="0.25">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customHeight="1" x14ac:dyDescent="0.25">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x14ac:dyDescent="0.25">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customHeight="1" x14ac:dyDescent="0.25">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customHeight="1" x14ac:dyDescent="0.25">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customHeight="1" x14ac:dyDescent="0.25">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customHeight="1" x14ac:dyDescent="0.25">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customHeight="1" x14ac:dyDescent="0.25">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customHeight="1" x14ac:dyDescent="0.25">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customHeight="1" x14ac:dyDescent="0.25">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customHeight="1" x14ac:dyDescent="0.25">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customHeight="1" x14ac:dyDescent="0.25">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customHeight="1" x14ac:dyDescent="0.25">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customHeight="1" x14ac:dyDescent="0.25">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customHeight="1" x14ac:dyDescent="0.25">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customHeight="1" x14ac:dyDescent="0.25">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customHeight="1" x14ac:dyDescent="0.25">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customHeight="1" x14ac:dyDescent="0.25">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customHeight="1" x14ac:dyDescent="0.25">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customHeight="1" x14ac:dyDescent="0.25">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customHeight="1" x14ac:dyDescent="0.25">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customHeight="1" x14ac:dyDescent="0.25">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customHeight="1" x14ac:dyDescent="0.25">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customHeight="1" x14ac:dyDescent="0.25">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customHeight="1" x14ac:dyDescent="0.25">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customHeight="1" x14ac:dyDescent="0.25">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x14ac:dyDescent="0.25">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customHeight="1" x14ac:dyDescent="0.25">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customHeight="1" x14ac:dyDescent="0.25">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customHeight="1" x14ac:dyDescent="0.25">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customHeight="1" x14ac:dyDescent="0.25">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customHeight="1" x14ac:dyDescent="0.25">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customHeight="1" x14ac:dyDescent="0.25">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customHeight="1" x14ac:dyDescent="0.25">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customHeight="1" x14ac:dyDescent="0.25">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customHeight="1" x14ac:dyDescent="0.25">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customHeight="1" x14ac:dyDescent="0.25">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customHeight="1" x14ac:dyDescent="0.25">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customHeight="1" x14ac:dyDescent="0.25">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customHeight="1" x14ac:dyDescent="0.25">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customHeight="1" x14ac:dyDescent="0.25">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customHeight="1" x14ac:dyDescent="0.25">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customHeight="1" x14ac:dyDescent="0.25">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customHeight="1" x14ac:dyDescent="0.25">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customHeight="1" x14ac:dyDescent="0.25">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x14ac:dyDescent="0.25">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customHeight="1" x14ac:dyDescent="0.25">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customHeight="1" x14ac:dyDescent="0.25">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customHeight="1" x14ac:dyDescent="0.25">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customHeight="1" x14ac:dyDescent="0.25">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customHeight="1" x14ac:dyDescent="0.25">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customHeight="1" x14ac:dyDescent="0.25">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customHeight="1" x14ac:dyDescent="0.25">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customHeight="1" x14ac:dyDescent="0.25">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customHeight="1" x14ac:dyDescent="0.25">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customHeight="1" x14ac:dyDescent="0.25">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customHeight="1" x14ac:dyDescent="0.25">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customHeight="1" x14ac:dyDescent="0.25">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customHeight="1" x14ac:dyDescent="0.25">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customHeight="1" x14ac:dyDescent="0.25">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customHeight="1" x14ac:dyDescent="0.25">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customHeight="1" x14ac:dyDescent="0.25">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customHeight="1" x14ac:dyDescent="0.25">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customHeight="1" x14ac:dyDescent="0.25">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customHeight="1" x14ac:dyDescent="0.25">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customHeight="1" x14ac:dyDescent="0.25">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customHeight="1" x14ac:dyDescent="0.25">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customHeight="1" x14ac:dyDescent="0.25">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customHeight="1" x14ac:dyDescent="0.25">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x14ac:dyDescent="0.25">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customHeight="1" x14ac:dyDescent="0.25">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customHeight="1" x14ac:dyDescent="0.25">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customHeight="1" x14ac:dyDescent="0.25">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customHeight="1" x14ac:dyDescent="0.25">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customHeight="1" x14ac:dyDescent="0.25">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customHeight="1" x14ac:dyDescent="0.25">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customHeight="1" x14ac:dyDescent="0.25">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customHeight="1" x14ac:dyDescent="0.25">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customHeight="1" x14ac:dyDescent="0.25">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customHeight="1" x14ac:dyDescent="0.25">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customHeight="1" x14ac:dyDescent="0.25">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customHeight="1" x14ac:dyDescent="0.25">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customHeight="1" x14ac:dyDescent="0.25">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customHeight="1" x14ac:dyDescent="0.25">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customHeight="1" x14ac:dyDescent="0.25">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customHeight="1" x14ac:dyDescent="0.25">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customHeight="1" x14ac:dyDescent="0.25">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customHeight="1" x14ac:dyDescent="0.25">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x14ac:dyDescent="0.25">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customHeight="1" x14ac:dyDescent="0.25">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customHeight="1" x14ac:dyDescent="0.25">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customHeight="1" x14ac:dyDescent="0.25">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customHeight="1" x14ac:dyDescent="0.25">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customHeight="1" x14ac:dyDescent="0.25">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customHeight="1" x14ac:dyDescent="0.25">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customHeight="1" x14ac:dyDescent="0.25">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customHeight="1" x14ac:dyDescent="0.25">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customHeight="1" x14ac:dyDescent="0.25">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customHeight="1" x14ac:dyDescent="0.25">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customHeight="1" x14ac:dyDescent="0.25">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customHeight="1" x14ac:dyDescent="0.25">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customHeight="1" x14ac:dyDescent="0.25">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customHeight="1" x14ac:dyDescent="0.25">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customHeight="1" x14ac:dyDescent="0.25">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customHeight="1" x14ac:dyDescent="0.25">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customHeight="1" x14ac:dyDescent="0.25">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customHeight="1" x14ac:dyDescent="0.25">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customHeight="1" x14ac:dyDescent="0.25">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customHeight="1" x14ac:dyDescent="0.25">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customHeight="1" x14ac:dyDescent="0.25">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customHeight="1" x14ac:dyDescent="0.25">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customHeight="1" x14ac:dyDescent="0.25">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customHeight="1" x14ac:dyDescent="0.25">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customHeight="1" x14ac:dyDescent="0.25">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customHeight="1" x14ac:dyDescent="0.25">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customHeight="1" x14ac:dyDescent="0.25">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customHeight="1" x14ac:dyDescent="0.25">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customHeight="1" x14ac:dyDescent="0.25">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customHeight="1" x14ac:dyDescent="0.25">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customHeight="1" x14ac:dyDescent="0.25">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customHeight="1" x14ac:dyDescent="0.25">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customHeight="1" x14ac:dyDescent="0.25">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customHeight="1" x14ac:dyDescent="0.25">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x14ac:dyDescent="0.25">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customHeight="1" x14ac:dyDescent="0.25">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customHeight="1" x14ac:dyDescent="0.25">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customHeight="1" x14ac:dyDescent="0.25">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customHeight="1" x14ac:dyDescent="0.25">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customHeight="1" x14ac:dyDescent="0.25">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customHeight="1" x14ac:dyDescent="0.25">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customHeight="1" x14ac:dyDescent="0.25">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customHeight="1" x14ac:dyDescent="0.25">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customHeight="1" x14ac:dyDescent="0.25">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customHeight="1" x14ac:dyDescent="0.25">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customHeight="1" x14ac:dyDescent="0.25">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customHeight="1" x14ac:dyDescent="0.25">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customHeight="1" x14ac:dyDescent="0.25">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customHeight="1" x14ac:dyDescent="0.25">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customHeight="1" x14ac:dyDescent="0.25">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customHeight="1" x14ac:dyDescent="0.25">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customHeight="1" x14ac:dyDescent="0.25">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customHeight="1" x14ac:dyDescent="0.25">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customHeight="1" x14ac:dyDescent="0.25">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customHeight="1" x14ac:dyDescent="0.25">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customHeight="1" x14ac:dyDescent="0.25">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customHeight="1" x14ac:dyDescent="0.25">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customHeight="1" x14ac:dyDescent="0.25">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customHeight="1" x14ac:dyDescent="0.25">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customHeight="1" x14ac:dyDescent="0.25">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customHeight="1" x14ac:dyDescent="0.25">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customHeight="1" x14ac:dyDescent="0.25">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customHeight="1" x14ac:dyDescent="0.25">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customHeight="1" x14ac:dyDescent="0.25">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customHeight="1" x14ac:dyDescent="0.25">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customHeight="1" x14ac:dyDescent="0.25">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customHeight="1" x14ac:dyDescent="0.25">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x14ac:dyDescent="0.25">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customHeight="1" x14ac:dyDescent="0.25">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customHeight="1" x14ac:dyDescent="0.25">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customHeight="1" x14ac:dyDescent="0.25">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customHeight="1" x14ac:dyDescent="0.25">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customHeight="1" x14ac:dyDescent="0.25">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customHeight="1" x14ac:dyDescent="0.25">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customHeight="1" x14ac:dyDescent="0.25">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x14ac:dyDescent="0.25">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x14ac:dyDescent="0.25">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customHeight="1" x14ac:dyDescent="0.25">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customHeight="1" x14ac:dyDescent="0.25">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customHeight="1" x14ac:dyDescent="0.25">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customHeight="1" x14ac:dyDescent="0.25">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customHeight="1" x14ac:dyDescent="0.25">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customHeight="1" x14ac:dyDescent="0.25">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customHeight="1" x14ac:dyDescent="0.25">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customHeight="1" x14ac:dyDescent="0.25">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customHeight="1" x14ac:dyDescent="0.25">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customHeight="1" x14ac:dyDescent="0.25">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customHeight="1" x14ac:dyDescent="0.25">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customHeight="1" x14ac:dyDescent="0.25">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x14ac:dyDescent="0.25">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customHeight="1" x14ac:dyDescent="0.25">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customHeight="1" x14ac:dyDescent="0.25">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customHeight="1" x14ac:dyDescent="0.25">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x14ac:dyDescent="0.25">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customHeight="1" x14ac:dyDescent="0.25">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x14ac:dyDescent="0.25">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x14ac:dyDescent="0.25">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customHeight="1" x14ac:dyDescent="0.25">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customHeight="1" x14ac:dyDescent="0.25">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customHeight="1" x14ac:dyDescent="0.25">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customHeight="1" x14ac:dyDescent="0.25">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customHeight="1" x14ac:dyDescent="0.25">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customHeight="1" x14ac:dyDescent="0.25">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customHeight="1" x14ac:dyDescent="0.25">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customHeight="1" x14ac:dyDescent="0.25">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customHeight="1" x14ac:dyDescent="0.25">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customHeight="1" x14ac:dyDescent="0.25">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customHeight="1" x14ac:dyDescent="0.25">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customHeight="1" x14ac:dyDescent="0.25">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customHeight="1" x14ac:dyDescent="0.25">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customHeight="1" x14ac:dyDescent="0.25">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x14ac:dyDescent="0.25">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x14ac:dyDescent="0.25">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customHeight="1" x14ac:dyDescent="0.25">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customHeight="1" x14ac:dyDescent="0.25">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customHeight="1" x14ac:dyDescent="0.25">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customHeight="1" x14ac:dyDescent="0.25">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customHeight="1" x14ac:dyDescent="0.25">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customHeight="1" x14ac:dyDescent="0.25">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customHeight="1" x14ac:dyDescent="0.25">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customHeight="1" x14ac:dyDescent="0.25">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customHeight="1" x14ac:dyDescent="0.25">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customHeight="1" x14ac:dyDescent="0.25">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customHeight="1" x14ac:dyDescent="0.25">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customHeight="1" x14ac:dyDescent="0.25">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customHeight="1" x14ac:dyDescent="0.25">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customHeight="1" x14ac:dyDescent="0.25">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x14ac:dyDescent="0.25">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x14ac:dyDescent="0.25">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customHeight="1" x14ac:dyDescent="0.25">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customHeight="1" x14ac:dyDescent="0.25">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customHeight="1" x14ac:dyDescent="0.25">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customHeight="1" x14ac:dyDescent="0.25">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customHeight="1" x14ac:dyDescent="0.25">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customHeight="1" x14ac:dyDescent="0.25">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customHeight="1" x14ac:dyDescent="0.25">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customHeight="1" x14ac:dyDescent="0.25">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customHeight="1" x14ac:dyDescent="0.25">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customHeight="1" x14ac:dyDescent="0.25">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customHeight="1" x14ac:dyDescent="0.25">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customHeight="1" x14ac:dyDescent="0.25">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customHeight="1" x14ac:dyDescent="0.25">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customHeight="1" x14ac:dyDescent="0.25">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customHeight="1" x14ac:dyDescent="0.25">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customHeight="1" x14ac:dyDescent="0.25">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customHeight="1" x14ac:dyDescent="0.25">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x14ac:dyDescent="0.25">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customHeight="1" x14ac:dyDescent="0.25">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customHeight="1" x14ac:dyDescent="0.25">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customHeight="1" x14ac:dyDescent="0.25">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customHeight="1" x14ac:dyDescent="0.25">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customHeight="1" x14ac:dyDescent="0.25">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customHeight="1" x14ac:dyDescent="0.25">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customHeight="1" x14ac:dyDescent="0.25">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customHeight="1" x14ac:dyDescent="0.25">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customHeight="1" x14ac:dyDescent="0.25">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customHeight="1" x14ac:dyDescent="0.25">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customHeight="1" x14ac:dyDescent="0.25">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customHeight="1" x14ac:dyDescent="0.25">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customHeight="1" x14ac:dyDescent="0.25">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x14ac:dyDescent="0.25">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customHeight="1" x14ac:dyDescent="0.25">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customHeight="1" x14ac:dyDescent="0.25">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customHeight="1" x14ac:dyDescent="0.25">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customHeight="1" x14ac:dyDescent="0.25">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customHeight="1" x14ac:dyDescent="0.25">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customHeight="1" x14ac:dyDescent="0.25">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customHeight="1" x14ac:dyDescent="0.25">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customHeight="1" x14ac:dyDescent="0.25">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x14ac:dyDescent="0.25">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customHeight="1" x14ac:dyDescent="0.25">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customHeight="1" x14ac:dyDescent="0.25">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customHeight="1" x14ac:dyDescent="0.25">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customHeight="1" x14ac:dyDescent="0.25">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customHeight="1" x14ac:dyDescent="0.25">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customHeight="1" x14ac:dyDescent="0.25">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customHeight="1" x14ac:dyDescent="0.25">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customHeight="1" x14ac:dyDescent="0.25">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customHeight="1" x14ac:dyDescent="0.25">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customHeight="1" x14ac:dyDescent="0.25">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customHeight="1" x14ac:dyDescent="0.25">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customHeight="1" x14ac:dyDescent="0.25">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customHeight="1" x14ac:dyDescent="0.25">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customHeight="1" x14ac:dyDescent="0.25">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customHeight="1" x14ac:dyDescent="0.25">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customHeight="1" x14ac:dyDescent="0.25">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customHeight="1" x14ac:dyDescent="0.25">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customHeight="1" x14ac:dyDescent="0.25">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customHeight="1" x14ac:dyDescent="0.25">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customHeight="1" x14ac:dyDescent="0.25">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customHeight="1" x14ac:dyDescent="0.25">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customHeight="1" x14ac:dyDescent="0.25">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customHeight="1" x14ac:dyDescent="0.25">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customHeight="1" x14ac:dyDescent="0.25">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customHeight="1" x14ac:dyDescent="0.25">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customHeight="1" x14ac:dyDescent="0.25">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customHeight="1" x14ac:dyDescent="0.25">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customHeight="1" x14ac:dyDescent="0.25">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customHeight="1" x14ac:dyDescent="0.25">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customHeight="1" x14ac:dyDescent="0.25">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customHeight="1" x14ac:dyDescent="0.25">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customHeight="1" x14ac:dyDescent="0.25">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customHeight="1" x14ac:dyDescent="0.25">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customHeight="1" x14ac:dyDescent="0.25">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customHeight="1" x14ac:dyDescent="0.25">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customHeight="1" x14ac:dyDescent="0.25">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customHeight="1" x14ac:dyDescent="0.25">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customHeight="1" x14ac:dyDescent="0.25">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customHeight="1" x14ac:dyDescent="0.25">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customHeight="1" x14ac:dyDescent="0.25">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customHeight="1" x14ac:dyDescent="0.25">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customHeight="1" x14ac:dyDescent="0.25">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customHeight="1" x14ac:dyDescent="0.25">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customHeight="1" x14ac:dyDescent="0.25">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customHeight="1" x14ac:dyDescent="0.25">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customHeight="1" x14ac:dyDescent="0.25">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customHeight="1" x14ac:dyDescent="0.25">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customHeight="1" x14ac:dyDescent="0.25">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customHeight="1" x14ac:dyDescent="0.25">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customHeight="1" x14ac:dyDescent="0.25">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customHeight="1" x14ac:dyDescent="0.25">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customHeight="1" x14ac:dyDescent="0.25">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customHeight="1" x14ac:dyDescent="0.25">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customHeight="1" x14ac:dyDescent="0.25">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customHeight="1" x14ac:dyDescent="0.25">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customHeight="1" x14ac:dyDescent="0.25">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customHeight="1" x14ac:dyDescent="0.25">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x14ac:dyDescent="0.25">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customHeight="1" x14ac:dyDescent="0.25">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customHeight="1" x14ac:dyDescent="0.25">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customHeight="1" x14ac:dyDescent="0.25">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customHeight="1" x14ac:dyDescent="0.25">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customHeight="1" x14ac:dyDescent="0.25">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customHeight="1" x14ac:dyDescent="0.25">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customHeight="1" x14ac:dyDescent="0.25">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customHeight="1" x14ac:dyDescent="0.25">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customHeight="1" x14ac:dyDescent="0.25">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customHeight="1" x14ac:dyDescent="0.25">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customHeight="1" x14ac:dyDescent="0.25">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customHeight="1" x14ac:dyDescent="0.25">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customHeight="1" x14ac:dyDescent="0.25">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customHeight="1" x14ac:dyDescent="0.25">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customHeight="1" x14ac:dyDescent="0.25">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x14ac:dyDescent="0.25">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customHeight="1" x14ac:dyDescent="0.25">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customHeight="1" x14ac:dyDescent="0.25">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customHeight="1" x14ac:dyDescent="0.25">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customHeight="1" x14ac:dyDescent="0.25">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customHeight="1" x14ac:dyDescent="0.25">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customHeight="1" x14ac:dyDescent="0.25">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customHeight="1" x14ac:dyDescent="0.25">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customHeight="1" x14ac:dyDescent="0.25">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customHeight="1" x14ac:dyDescent="0.25">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customHeight="1" x14ac:dyDescent="0.25">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customHeight="1" x14ac:dyDescent="0.25">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customHeight="1" x14ac:dyDescent="0.25">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customHeight="1" x14ac:dyDescent="0.25">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customHeight="1" x14ac:dyDescent="0.25">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customHeight="1" x14ac:dyDescent="0.25">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customHeight="1" x14ac:dyDescent="0.25">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customHeight="1" x14ac:dyDescent="0.25">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customHeight="1" x14ac:dyDescent="0.25">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customHeight="1" x14ac:dyDescent="0.25">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customHeight="1" x14ac:dyDescent="0.25">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customHeight="1" x14ac:dyDescent="0.25">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customHeight="1" x14ac:dyDescent="0.25">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customHeight="1" x14ac:dyDescent="0.25">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customHeight="1" x14ac:dyDescent="0.25">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customHeight="1" x14ac:dyDescent="0.25">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customHeight="1" x14ac:dyDescent="0.25">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customHeight="1" x14ac:dyDescent="0.25">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customHeight="1" x14ac:dyDescent="0.25">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customHeight="1" x14ac:dyDescent="0.25">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customHeight="1" x14ac:dyDescent="0.25">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x14ac:dyDescent="0.25">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customHeight="1" x14ac:dyDescent="0.25">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customHeight="1" x14ac:dyDescent="0.25">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customHeight="1" x14ac:dyDescent="0.25">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customHeight="1" x14ac:dyDescent="0.25">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customHeight="1" x14ac:dyDescent="0.25">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customHeight="1" x14ac:dyDescent="0.25">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customHeight="1" x14ac:dyDescent="0.25">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Dasboard</vt:lpstr>
      <vt:lpstr>Analisis Pivot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User</cp:lastModifiedBy>
  <dcterms:created xsi:type="dcterms:W3CDTF">2024-03-07T04:47:57Z</dcterms:created>
  <dcterms:modified xsi:type="dcterms:W3CDTF">2026-04-13T14:12:00Z</dcterms:modified>
</cp:coreProperties>
</file>