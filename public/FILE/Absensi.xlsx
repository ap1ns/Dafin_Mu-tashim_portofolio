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Portofolio\"/>
    </mc:Choice>
  </mc:AlternateContent>
  <xr:revisionPtr revIDLastSave="0" documentId="8_{BB2E4919-702C-4C02-89A1-C30CF88DE00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2" r:id="rId1"/>
  </sheets>
  <calcPr calcId="181029"/>
</workbook>
</file>

<file path=xl/calcChain.xml><?xml version="1.0" encoding="utf-8"?>
<calcChain xmlns="http://schemas.openxmlformats.org/spreadsheetml/2006/main">
  <c r="AJ11" i="2" l="1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10" i="2"/>
  <c r="AI10" i="2"/>
  <c r="AH11" i="2"/>
  <c r="AH10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K10" i="2"/>
</calcChain>
</file>

<file path=xl/sharedStrings.xml><?xml version="1.0" encoding="utf-8"?>
<sst xmlns="http://schemas.openxmlformats.org/spreadsheetml/2006/main" count="487" uniqueCount="51">
  <si>
    <t>Nama Karyawan</t>
  </si>
  <si>
    <t>Andi Saputra</t>
  </si>
  <si>
    <t>Budi Hartono</t>
  </si>
  <si>
    <t>Citra Lestari</t>
  </si>
  <si>
    <t>Dimas Pratama</t>
  </si>
  <si>
    <t>Eka Wulandari</t>
  </si>
  <si>
    <t>Fajar Nugroho</t>
  </si>
  <si>
    <t>Gina Permata</t>
  </si>
  <si>
    <t>Hendra Wijaya</t>
  </si>
  <si>
    <t>Intan Sari</t>
  </si>
  <si>
    <t>Joko Susanto</t>
  </si>
  <si>
    <t>Kiki Amelia</t>
  </si>
  <si>
    <t>Luthfi Ramadhan</t>
  </si>
  <si>
    <t>Maya Putri</t>
  </si>
  <si>
    <t>Nanda Saputri</t>
  </si>
  <si>
    <t>Oki Prasetyo</t>
  </si>
  <si>
    <t>Putri Ayu</t>
  </si>
  <si>
    <t>Rizky Maulana</t>
  </si>
  <si>
    <t>Sinta Dewi</t>
  </si>
  <si>
    <t>Taufik Hidayat</t>
  </si>
  <si>
    <t>Vina Oktaviani</t>
  </si>
  <si>
    <t>NO INDUK</t>
  </si>
  <si>
    <t>Sakit</t>
  </si>
  <si>
    <t>Cuti</t>
  </si>
  <si>
    <t xml:space="preserve"> Alpa</t>
  </si>
  <si>
    <t>Masuk</t>
  </si>
  <si>
    <t>Laporan Absensi</t>
  </si>
  <si>
    <t>NIK0013278</t>
  </si>
  <si>
    <t>NIK0013279</t>
  </si>
  <si>
    <t>NIK0013280</t>
  </si>
  <si>
    <t>NIK0013281</t>
  </si>
  <si>
    <t>NIK0013282</t>
  </si>
  <si>
    <t>NIK0013283</t>
  </si>
  <si>
    <t>NIK0013284</t>
  </si>
  <si>
    <t>NIK0013285</t>
  </si>
  <si>
    <t>NIK0013286</t>
  </si>
  <si>
    <t>NIK0013287</t>
  </si>
  <si>
    <t>NIK0013288</t>
  </si>
  <si>
    <t>NIK0013289</t>
  </si>
  <si>
    <t>NIK0013290</t>
  </si>
  <si>
    <t>NIK0013291</t>
  </si>
  <si>
    <t>NIK0013292</t>
  </si>
  <si>
    <t>NIK0013293</t>
  </si>
  <si>
    <t>NIK0013294</t>
  </si>
  <si>
    <t>NIK0013295</t>
  </si>
  <si>
    <t>NIK0013296</t>
  </si>
  <si>
    <t>NIK0013297</t>
  </si>
  <si>
    <t>.</t>
  </si>
  <si>
    <t>S</t>
  </si>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</sst>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72"/>
      <color theme="1"/>
      <name val="Bodoni MT Black"/>
      <family val="1"/>
    </font>
    <font>
      <sz val="8"/>
      <name val="Calibri"/>
      <family val="2"/>
      <scheme val="minor"/>
    </font>
    <font>
      <b/>
      <sz val="14"/>
      <color theme="1"/>
      <name val="Bahnschrift Condensed"/>
      <family val="2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4" borderId="0" xfId="0" applyFill="1"/>
    <xf numFmtId="0" fontId="2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/>
    <xf numFmtId="0" fontId="1" fillId="2" borderId="1" xfId="0" applyFont="1" applyFill="1" applyBorder="1"/>
    <xf numFmtId="0" fontId="4" fillId="2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4" fillId="3" borderId="1" xfId="0" applyFont="1" applyFill="1" applyBorder="1"/>
    <xf numFmtId="0" fontId="1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9F219-E628-4374-8C10-CCBC488F8361}">
  <dimension ref="B1:AK29"/>
  <sheetViews>
    <sheetView tabSelected="1" zoomScale="85" zoomScaleNormal="85" workbookViewId="0">
      <selection activeCell="AL17" sqref="AL17"/>
    </sheetView>
  </sheetViews>
  <sheetFormatPr defaultRowHeight="15" x14ac:dyDescent="0.25"/>
  <cols>
    <col min="1" max="1" width="9.140625" style="1"/>
    <col min="2" max="2" width="15" style="1" customWidth="1"/>
    <col min="3" max="3" width="22.7109375" style="1" customWidth="1"/>
    <col min="4" max="33" width="5.7109375" style="1" customWidth="1"/>
    <col min="34" max="34" width="10.7109375" style="1" bestFit="1" customWidth="1"/>
    <col min="35" max="16384" width="9.140625" style="1"/>
  </cols>
  <sheetData>
    <row r="1" spans="2:37" x14ac:dyDescent="0.25">
      <c r="B1" s="2" t="s">
        <v>26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2:37" x14ac:dyDescent="0.2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2:37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2:37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2:37" x14ac:dyDescent="0.2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2:37" x14ac:dyDescent="0.2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2:37" x14ac:dyDescent="0.2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2:37" x14ac:dyDescent="0.2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2:37" ht="18.75" x14ac:dyDescent="0.25">
      <c r="B9" s="11" t="s">
        <v>21</v>
      </c>
      <c r="C9" s="11" t="s">
        <v>0</v>
      </c>
      <c r="D9" s="11">
        <v>1</v>
      </c>
      <c r="E9" s="11">
        <v>2</v>
      </c>
      <c r="F9" s="11">
        <v>3</v>
      </c>
      <c r="G9" s="11">
        <v>4</v>
      </c>
      <c r="H9" s="11">
        <v>5</v>
      </c>
      <c r="I9" s="11">
        <v>6</v>
      </c>
      <c r="J9" s="11">
        <v>7</v>
      </c>
      <c r="K9" s="11">
        <v>8</v>
      </c>
      <c r="L9" s="11">
        <v>9</v>
      </c>
      <c r="M9" s="11">
        <v>10</v>
      </c>
      <c r="N9" s="11">
        <v>11</v>
      </c>
      <c r="O9" s="11">
        <v>12</v>
      </c>
      <c r="P9" s="11">
        <v>13</v>
      </c>
      <c r="Q9" s="11">
        <v>14</v>
      </c>
      <c r="R9" s="11">
        <v>15</v>
      </c>
      <c r="S9" s="11">
        <v>16</v>
      </c>
      <c r="T9" s="11">
        <v>17</v>
      </c>
      <c r="U9" s="11">
        <v>18</v>
      </c>
      <c r="V9" s="11">
        <v>19</v>
      </c>
      <c r="W9" s="11">
        <v>20</v>
      </c>
      <c r="X9" s="11">
        <v>21</v>
      </c>
      <c r="Y9" s="11">
        <v>22</v>
      </c>
      <c r="Z9" s="11">
        <v>23</v>
      </c>
      <c r="AA9" s="11">
        <v>24</v>
      </c>
      <c r="AB9" s="11">
        <v>25</v>
      </c>
      <c r="AC9" s="11">
        <v>26</v>
      </c>
      <c r="AD9" s="11">
        <v>27</v>
      </c>
      <c r="AE9" s="11">
        <v>28</v>
      </c>
      <c r="AF9" s="11">
        <v>29</v>
      </c>
      <c r="AG9" s="11">
        <v>30</v>
      </c>
      <c r="AH9" s="12" t="s">
        <v>22</v>
      </c>
      <c r="AI9" s="12" t="s">
        <v>23</v>
      </c>
      <c r="AJ9" s="12" t="s">
        <v>24</v>
      </c>
      <c r="AK9" s="12" t="s">
        <v>25</v>
      </c>
    </row>
    <row r="10" spans="2:37" ht="18.75" x14ac:dyDescent="0.3">
      <c r="B10" s="5" t="s">
        <v>27</v>
      </c>
      <c r="C10" s="6" t="s">
        <v>1</v>
      </c>
      <c r="D10" s="7" t="s">
        <v>47</v>
      </c>
      <c r="E10" s="7" t="s">
        <v>49</v>
      </c>
      <c r="F10" s="7" t="s">
        <v>47</v>
      </c>
      <c r="G10" s="7" t="s">
        <v>47</v>
      </c>
      <c r="H10" s="7" t="s">
        <v>47</v>
      </c>
      <c r="I10" s="10"/>
      <c r="J10" s="10"/>
      <c r="K10" s="7" t="s">
        <v>47</v>
      </c>
      <c r="L10" s="7" t="s">
        <v>50</v>
      </c>
      <c r="M10" s="7" t="s">
        <v>47</v>
      </c>
      <c r="N10" s="7" t="s">
        <v>47</v>
      </c>
      <c r="O10" s="7" t="s">
        <v>47</v>
      </c>
      <c r="P10" s="10"/>
      <c r="Q10" s="10"/>
      <c r="R10" s="7" t="s">
        <v>47</v>
      </c>
      <c r="S10" s="7" t="s">
        <v>47</v>
      </c>
      <c r="T10" s="7" t="s">
        <v>47</v>
      </c>
      <c r="U10" s="7" t="s">
        <v>47</v>
      </c>
      <c r="V10" s="7" t="s">
        <v>47</v>
      </c>
      <c r="W10" s="10"/>
      <c r="X10" s="10"/>
      <c r="Y10" s="7" t="s">
        <v>47</v>
      </c>
      <c r="Z10" s="7" t="s">
        <v>47</v>
      </c>
      <c r="AA10" s="7" t="s">
        <v>47</v>
      </c>
      <c r="AB10" s="7" t="s">
        <v>47</v>
      </c>
      <c r="AC10" s="10"/>
      <c r="AD10" s="10"/>
      <c r="AE10" s="7" t="s">
        <v>47</v>
      </c>
      <c r="AF10" s="7" t="s">
        <v>47</v>
      </c>
      <c r="AG10" s="7" t="s">
        <v>47</v>
      </c>
      <c r="AH10" s="8">
        <f>COUNTIF(D10:AG10,"S")</f>
        <v>0</v>
      </c>
      <c r="AI10" s="8">
        <f>COUNTIF(D10:AG10,"C")</f>
        <v>1</v>
      </c>
      <c r="AJ10" s="8">
        <f>COUNTIF(S10:AG10,"C")</f>
        <v>0</v>
      </c>
      <c r="AK10" s="8">
        <f>COUNTIF(D10:AG10,".")</f>
        <v>20</v>
      </c>
    </row>
    <row r="11" spans="2:37" ht="18.75" x14ac:dyDescent="0.3">
      <c r="B11" s="5" t="s">
        <v>28</v>
      </c>
      <c r="C11" s="9" t="s">
        <v>2</v>
      </c>
      <c r="D11" s="7" t="s">
        <v>47</v>
      </c>
      <c r="E11" s="7" t="s">
        <v>47</v>
      </c>
      <c r="F11" s="7" t="s">
        <v>47</v>
      </c>
      <c r="G11" s="7" t="s">
        <v>47</v>
      </c>
      <c r="H11" s="7" t="s">
        <v>47</v>
      </c>
      <c r="I11" s="10"/>
      <c r="J11" s="10"/>
      <c r="K11" s="7" t="s">
        <v>47</v>
      </c>
      <c r="L11" s="7" t="s">
        <v>47</v>
      </c>
      <c r="M11" s="7" t="s">
        <v>47</v>
      </c>
      <c r="N11" s="7" t="s">
        <v>47</v>
      </c>
      <c r="O11" s="7" t="s">
        <v>47</v>
      </c>
      <c r="P11" s="10"/>
      <c r="Q11" s="10"/>
      <c r="R11" s="7" t="s">
        <v>47</v>
      </c>
      <c r="S11" s="7" t="s">
        <v>47</v>
      </c>
      <c r="T11" s="7" t="s">
        <v>47</v>
      </c>
      <c r="U11" s="7" t="s">
        <v>47</v>
      </c>
      <c r="V11" s="7" t="s">
        <v>47</v>
      </c>
      <c r="W11" s="10"/>
      <c r="X11" s="10"/>
      <c r="Y11" s="7" t="s">
        <v>47</v>
      </c>
      <c r="Z11" s="7" t="s">
        <v>47</v>
      </c>
      <c r="AA11" s="7" t="s">
        <v>50</v>
      </c>
      <c r="AB11" s="7" t="s">
        <v>47</v>
      </c>
      <c r="AC11" s="10"/>
      <c r="AD11" s="10"/>
      <c r="AE11" s="7" t="s">
        <v>47</v>
      </c>
      <c r="AF11" s="7" t="s">
        <v>47</v>
      </c>
      <c r="AG11" s="7" t="s">
        <v>47</v>
      </c>
      <c r="AH11" s="8">
        <f>COUNTIF(D11:AG11,"S")</f>
        <v>0</v>
      </c>
      <c r="AI11" s="8">
        <f t="shared" ref="AI10:AI29" si="0">COUNTIF(D11:AG11,"C")</f>
        <v>1</v>
      </c>
      <c r="AJ11" s="8">
        <f t="shared" ref="AJ11:AJ29" si="1">COUNTIF(S11:AG11,"C")</f>
        <v>1</v>
      </c>
      <c r="AK11" s="8">
        <f t="shared" ref="AK11:AK29" si="2">COUNTIF(D11:AG11,".")</f>
        <v>21</v>
      </c>
    </row>
    <row r="12" spans="2:37" ht="18.75" x14ac:dyDescent="0.3">
      <c r="B12" s="5" t="s">
        <v>29</v>
      </c>
      <c r="C12" s="6" t="s">
        <v>3</v>
      </c>
      <c r="D12" s="7" t="s">
        <v>47</v>
      </c>
      <c r="E12" s="7" t="s">
        <v>47</v>
      </c>
      <c r="F12" s="7" t="s">
        <v>47</v>
      </c>
      <c r="G12" s="7" t="s">
        <v>47</v>
      </c>
      <c r="H12" s="7" t="s">
        <v>47</v>
      </c>
      <c r="I12" s="10"/>
      <c r="J12" s="10"/>
      <c r="K12" s="7" t="s">
        <v>47</v>
      </c>
      <c r="L12" s="7" t="s">
        <v>47</v>
      </c>
      <c r="M12" s="7" t="s">
        <v>47</v>
      </c>
      <c r="N12" s="7" t="s">
        <v>49</v>
      </c>
      <c r="O12" s="7" t="s">
        <v>47</v>
      </c>
      <c r="P12" s="10"/>
      <c r="Q12" s="10"/>
      <c r="R12" s="7" t="s">
        <v>47</v>
      </c>
      <c r="S12" s="7" t="s">
        <v>50</v>
      </c>
      <c r="T12" s="7" t="s">
        <v>47</v>
      </c>
      <c r="U12" s="7" t="s">
        <v>47</v>
      </c>
      <c r="V12" s="7" t="s">
        <v>47</v>
      </c>
      <c r="W12" s="10"/>
      <c r="X12" s="10"/>
      <c r="Y12" s="7" t="s">
        <v>47</v>
      </c>
      <c r="Z12" s="7" t="s">
        <v>47</v>
      </c>
      <c r="AA12" s="7" t="s">
        <v>47</v>
      </c>
      <c r="AB12" s="7" t="s">
        <v>47</v>
      </c>
      <c r="AC12" s="10"/>
      <c r="AD12" s="10"/>
      <c r="AE12" s="7" t="s">
        <v>47</v>
      </c>
      <c r="AF12" s="7" t="s">
        <v>47</v>
      </c>
      <c r="AG12" s="7" t="s">
        <v>47</v>
      </c>
      <c r="AH12" s="8">
        <f t="shared" ref="AH11:AH29" si="3">COUNTIF(D12:AG12,"S")</f>
        <v>0</v>
      </c>
      <c r="AI12" s="8">
        <f t="shared" si="0"/>
        <v>1</v>
      </c>
      <c r="AJ12" s="8">
        <f t="shared" si="1"/>
        <v>1</v>
      </c>
      <c r="AK12" s="8">
        <f t="shared" si="2"/>
        <v>20</v>
      </c>
    </row>
    <row r="13" spans="2:37" ht="18.75" x14ac:dyDescent="0.3">
      <c r="B13" s="5" t="s">
        <v>30</v>
      </c>
      <c r="C13" s="9" t="s">
        <v>4</v>
      </c>
      <c r="D13" s="7" t="s">
        <v>47</v>
      </c>
      <c r="E13" s="7" t="s">
        <v>47</v>
      </c>
      <c r="F13" s="7" t="s">
        <v>47</v>
      </c>
      <c r="G13" s="7" t="s">
        <v>47</v>
      </c>
      <c r="H13" s="7" t="s">
        <v>47</v>
      </c>
      <c r="I13" s="10"/>
      <c r="J13" s="10"/>
      <c r="K13" s="7" t="s">
        <v>47</v>
      </c>
      <c r="L13" s="7" t="s">
        <v>50</v>
      </c>
      <c r="M13" s="7" t="s">
        <v>47</v>
      </c>
      <c r="N13" s="7" t="s">
        <v>47</v>
      </c>
      <c r="O13" s="7" t="s">
        <v>47</v>
      </c>
      <c r="P13" s="10"/>
      <c r="Q13" s="10"/>
      <c r="R13" s="7" t="s">
        <v>47</v>
      </c>
      <c r="S13" s="7" t="s">
        <v>47</v>
      </c>
      <c r="T13" s="7" t="s">
        <v>47</v>
      </c>
      <c r="U13" s="7" t="s">
        <v>47</v>
      </c>
      <c r="V13" s="7" t="s">
        <v>47</v>
      </c>
      <c r="W13" s="10"/>
      <c r="X13" s="10"/>
      <c r="Y13" s="7" t="s">
        <v>47</v>
      </c>
      <c r="Z13" s="7" t="s">
        <v>47</v>
      </c>
      <c r="AA13" s="7" t="s">
        <v>47</v>
      </c>
      <c r="AB13" s="7" t="s">
        <v>47</v>
      </c>
      <c r="AC13" s="10"/>
      <c r="AD13" s="10"/>
      <c r="AE13" s="7" t="s">
        <v>50</v>
      </c>
      <c r="AF13" s="7" t="s">
        <v>47</v>
      </c>
      <c r="AG13" s="7" t="s">
        <v>47</v>
      </c>
      <c r="AH13" s="8">
        <f t="shared" si="3"/>
        <v>0</v>
      </c>
      <c r="AI13" s="8">
        <f t="shared" si="0"/>
        <v>2</v>
      </c>
      <c r="AJ13" s="8">
        <f t="shared" si="1"/>
        <v>1</v>
      </c>
      <c r="AK13" s="8">
        <f t="shared" si="2"/>
        <v>20</v>
      </c>
    </row>
    <row r="14" spans="2:37" ht="18.75" x14ac:dyDescent="0.3">
      <c r="B14" s="5" t="s">
        <v>31</v>
      </c>
      <c r="C14" s="6" t="s">
        <v>5</v>
      </c>
      <c r="D14" s="7" t="s">
        <v>47</v>
      </c>
      <c r="E14" s="7" t="s">
        <v>47</v>
      </c>
      <c r="F14" s="7" t="s">
        <v>48</v>
      </c>
      <c r="G14" s="7" t="s">
        <v>47</v>
      </c>
      <c r="H14" s="7" t="s">
        <v>47</v>
      </c>
      <c r="I14" s="10"/>
      <c r="J14" s="10"/>
      <c r="K14" s="7" t="s">
        <v>47</v>
      </c>
      <c r="L14" s="7" t="s">
        <v>47</v>
      </c>
      <c r="M14" s="7" t="s">
        <v>47</v>
      </c>
      <c r="N14" s="7" t="s">
        <v>47</v>
      </c>
      <c r="O14" s="7" t="s">
        <v>47</v>
      </c>
      <c r="P14" s="10"/>
      <c r="Q14" s="10"/>
      <c r="R14" s="7" t="s">
        <v>47</v>
      </c>
      <c r="S14" s="7" t="s">
        <v>47</v>
      </c>
      <c r="T14" s="7" t="s">
        <v>47</v>
      </c>
      <c r="U14" s="7" t="s">
        <v>47</v>
      </c>
      <c r="V14" s="7" t="s">
        <v>47</v>
      </c>
      <c r="W14" s="10"/>
      <c r="X14" s="10"/>
      <c r="Y14" s="7" t="s">
        <v>47</v>
      </c>
      <c r="Z14" s="7" t="s">
        <v>47</v>
      </c>
      <c r="AA14" s="7" t="s">
        <v>48</v>
      </c>
      <c r="AB14" s="7" t="s">
        <v>47</v>
      </c>
      <c r="AC14" s="10"/>
      <c r="AD14" s="10"/>
      <c r="AE14" s="7" t="s">
        <v>47</v>
      </c>
      <c r="AF14" s="7" t="s">
        <v>47</v>
      </c>
      <c r="AG14" s="7" t="s">
        <v>47</v>
      </c>
      <c r="AH14" s="8">
        <f t="shared" si="3"/>
        <v>2</v>
      </c>
      <c r="AI14" s="8">
        <f t="shared" si="0"/>
        <v>0</v>
      </c>
      <c r="AJ14" s="8">
        <f t="shared" si="1"/>
        <v>0</v>
      </c>
      <c r="AK14" s="8">
        <f t="shared" si="2"/>
        <v>20</v>
      </c>
    </row>
    <row r="15" spans="2:37" ht="18.75" x14ac:dyDescent="0.3">
      <c r="B15" s="5" t="s">
        <v>32</v>
      </c>
      <c r="C15" s="9" t="s">
        <v>6</v>
      </c>
      <c r="D15" s="7" t="s">
        <v>47</v>
      </c>
      <c r="E15" s="7" t="s">
        <v>47</v>
      </c>
      <c r="F15" s="7" t="s">
        <v>47</v>
      </c>
      <c r="G15" s="7" t="s">
        <v>47</v>
      </c>
      <c r="H15" s="7" t="s">
        <v>47</v>
      </c>
      <c r="I15" s="10"/>
      <c r="J15" s="10"/>
      <c r="K15" s="7" t="s">
        <v>47</v>
      </c>
      <c r="L15" s="7" t="s">
        <v>47</v>
      </c>
      <c r="M15" s="7" t="s">
        <v>47</v>
      </c>
      <c r="N15" s="7" t="s">
        <v>47</v>
      </c>
      <c r="O15" s="7" t="s">
        <v>47</v>
      </c>
      <c r="P15" s="10"/>
      <c r="Q15" s="10"/>
      <c r="R15" s="7" t="s">
        <v>47</v>
      </c>
      <c r="S15" s="7" t="s">
        <v>47</v>
      </c>
      <c r="T15" s="7" t="s">
        <v>47</v>
      </c>
      <c r="U15" s="7" t="s">
        <v>47</v>
      </c>
      <c r="V15" s="7" t="s">
        <v>47</v>
      </c>
      <c r="W15" s="10"/>
      <c r="X15" s="10"/>
      <c r="Y15" s="7" t="s">
        <v>47</v>
      </c>
      <c r="Z15" s="7" t="s">
        <v>47</v>
      </c>
      <c r="AA15" s="7" t="s">
        <v>47</v>
      </c>
      <c r="AB15" s="7" t="s">
        <v>47</v>
      </c>
      <c r="AC15" s="10"/>
      <c r="AD15" s="10"/>
      <c r="AE15" s="7" t="s">
        <v>47</v>
      </c>
      <c r="AF15" s="7" t="s">
        <v>47</v>
      </c>
      <c r="AG15" s="7" t="s">
        <v>47</v>
      </c>
      <c r="AH15" s="8">
        <f t="shared" si="3"/>
        <v>0</v>
      </c>
      <c r="AI15" s="8">
        <f t="shared" si="0"/>
        <v>0</v>
      </c>
      <c r="AJ15" s="8">
        <f t="shared" si="1"/>
        <v>0</v>
      </c>
      <c r="AK15" s="8">
        <f t="shared" si="2"/>
        <v>22</v>
      </c>
    </row>
    <row r="16" spans="2:37" ht="18.75" x14ac:dyDescent="0.3">
      <c r="B16" s="5" t="s">
        <v>33</v>
      </c>
      <c r="C16" s="6" t="s">
        <v>7</v>
      </c>
      <c r="D16" s="7" t="s">
        <v>47</v>
      </c>
      <c r="E16" s="7" t="s">
        <v>47</v>
      </c>
      <c r="F16" s="7" t="s">
        <v>47</v>
      </c>
      <c r="G16" s="7" t="s">
        <v>47</v>
      </c>
      <c r="H16" s="7" t="s">
        <v>47</v>
      </c>
      <c r="I16" s="10"/>
      <c r="J16" s="10"/>
      <c r="K16" s="7" t="s">
        <v>47</v>
      </c>
      <c r="L16" s="7" t="s">
        <v>47</v>
      </c>
      <c r="M16" s="7" t="s">
        <v>48</v>
      </c>
      <c r="N16" s="7" t="s">
        <v>47</v>
      </c>
      <c r="O16" s="7" t="s">
        <v>47</v>
      </c>
      <c r="P16" s="10"/>
      <c r="Q16" s="10"/>
      <c r="R16" s="7" t="s">
        <v>47</v>
      </c>
      <c r="S16" s="7" t="s">
        <v>48</v>
      </c>
      <c r="T16" s="7" t="s">
        <v>47</v>
      </c>
      <c r="U16" s="7" t="s">
        <v>47</v>
      </c>
      <c r="V16" s="7" t="s">
        <v>47</v>
      </c>
      <c r="W16" s="10"/>
      <c r="X16" s="10"/>
      <c r="Y16" s="7" t="s">
        <v>47</v>
      </c>
      <c r="Z16" s="7" t="s">
        <v>47</v>
      </c>
      <c r="AA16" s="7" t="s">
        <v>47</v>
      </c>
      <c r="AB16" s="7" t="s">
        <v>47</v>
      </c>
      <c r="AC16" s="10"/>
      <c r="AD16" s="10"/>
      <c r="AE16" s="7" t="s">
        <v>47</v>
      </c>
      <c r="AF16" s="7" t="s">
        <v>47</v>
      </c>
      <c r="AG16" s="7" t="s">
        <v>47</v>
      </c>
      <c r="AH16" s="8">
        <f t="shared" si="3"/>
        <v>2</v>
      </c>
      <c r="AI16" s="8">
        <f t="shared" si="0"/>
        <v>0</v>
      </c>
      <c r="AJ16" s="8">
        <f t="shared" si="1"/>
        <v>0</v>
      </c>
      <c r="AK16" s="8">
        <f t="shared" si="2"/>
        <v>20</v>
      </c>
    </row>
    <row r="17" spans="2:37" ht="18.75" x14ac:dyDescent="0.3">
      <c r="B17" s="5" t="s">
        <v>34</v>
      </c>
      <c r="C17" s="9" t="s">
        <v>8</v>
      </c>
      <c r="D17" s="7" t="s">
        <v>47</v>
      </c>
      <c r="E17" s="7" t="s">
        <v>48</v>
      </c>
      <c r="F17" s="7" t="s">
        <v>47</v>
      </c>
      <c r="G17" s="7" t="s">
        <v>47</v>
      </c>
      <c r="H17" s="7" t="s">
        <v>47</v>
      </c>
      <c r="I17" s="10"/>
      <c r="J17" s="10"/>
      <c r="K17" s="7" t="s">
        <v>47</v>
      </c>
      <c r="L17" s="7" t="s">
        <v>47</v>
      </c>
      <c r="M17" s="7" t="s">
        <v>47</v>
      </c>
      <c r="N17" s="7" t="s">
        <v>47</v>
      </c>
      <c r="O17" s="7" t="s">
        <v>47</v>
      </c>
      <c r="P17" s="10"/>
      <c r="Q17" s="10"/>
      <c r="R17" s="7" t="s">
        <v>47</v>
      </c>
      <c r="S17" s="7" t="s">
        <v>47</v>
      </c>
      <c r="T17" s="7" t="s">
        <v>47</v>
      </c>
      <c r="U17" s="7" t="s">
        <v>49</v>
      </c>
      <c r="V17" s="7" t="s">
        <v>47</v>
      </c>
      <c r="W17" s="10"/>
      <c r="X17" s="10"/>
      <c r="Y17" s="7" t="s">
        <v>47</v>
      </c>
      <c r="Z17" s="7" t="s">
        <v>47</v>
      </c>
      <c r="AA17" s="7" t="s">
        <v>47</v>
      </c>
      <c r="AB17" s="7" t="s">
        <v>47</v>
      </c>
      <c r="AC17" s="10"/>
      <c r="AD17" s="10"/>
      <c r="AE17" s="7" t="s">
        <v>47</v>
      </c>
      <c r="AF17" s="7" t="s">
        <v>48</v>
      </c>
      <c r="AG17" s="7" t="s">
        <v>47</v>
      </c>
      <c r="AH17" s="8">
        <f t="shared" si="3"/>
        <v>2</v>
      </c>
      <c r="AI17" s="8">
        <f t="shared" si="0"/>
        <v>0</v>
      </c>
      <c r="AJ17" s="8">
        <f t="shared" si="1"/>
        <v>0</v>
      </c>
      <c r="AK17" s="8">
        <f t="shared" si="2"/>
        <v>19</v>
      </c>
    </row>
    <row r="18" spans="2:37" ht="18.75" x14ac:dyDescent="0.3">
      <c r="B18" s="5" t="s">
        <v>35</v>
      </c>
      <c r="C18" s="6" t="s">
        <v>9</v>
      </c>
      <c r="D18" s="7" t="s">
        <v>47</v>
      </c>
      <c r="E18" s="7" t="s">
        <v>47</v>
      </c>
      <c r="F18" s="7" t="s">
        <v>47</v>
      </c>
      <c r="G18" s="7" t="s">
        <v>47</v>
      </c>
      <c r="H18" s="7" t="s">
        <v>47</v>
      </c>
      <c r="I18" s="10"/>
      <c r="J18" s="10"/>
      <c r="K18" s="7" t="s">
        <v>47</v>
      </c>
      <c r="L18" s="7" t="s">
        <v>47</v>
      </c>
      <c r="M18" s="7" t="s">
        <v>47</v>
      </c>
      <c r="N18" s="7" t="s">
        <v>47</v>
      </c>
      <c r="O18" s="7" t="s">
        <v>47</v>
      </c>
      <c r="P18" s="10"/>
      <c r="Q18" s="10"/>
      <c r="R18" s="7" t="s">
        <v>47</v>
      </c>
      <c r="S18" s="7" t="s">
        <v>47</v>
      </c>
      <c r="T18" s="7" t="s">
        <v>47</v>
      </c>
      <c r="U18" s="7" t="s">
        <v>47</v>
      </c>
      <c r="V18" s="7" t="s">
        <v>47</v>
      </c>
      <c r="W18" s="10"/>
      <c r="X18" s="10"/>
      <c r="Y18" s="7" t="s">
        <v>47</v>
      </c>
      <c r="Z18" s="7" t="s">
        <v>47</v>
      </c>
      <c r="AA18" s="7" t="s">
        <v>47</v>
      </c>
      <c r="AB18" s="7" t="s">
        <v>47</v>
      </c>
      <c r="AC18" s="10"/>
      <c r="AD18" s="10"/>
      <c r="AE18" s="7" t="s">
        <v>47</v>
      </c>
      <c r="AF18" s="7" t="s">
        <v>47</v>
      </c>
      <c r="AG18" s="7" t="s">
        <v>47</v>
      </c>
      <c r="AH18" s="8">
        <f t="shared" si="3"/>
        <v>0</v>
      </c>
      <c r="AI18" s="8">
        <f t="shared" si="0"/>
        <v>0</v>
      </c>
      <c r="AJ18" s="8">
        <f t="shared" si="1"/>
        <v>0</v>
      </c>
      <c r="AK18" s="8">
        <f t="shared" si="2"/>
        <v>22</v>
      </c>
    </row>
    <row r="19" spans="2:37" ht="18.75" x14ac:dyDescent="0.3">
      <c r="B19" s="5" t="s">
        <v>36</v>
      </c>
      <c r="C19" s="9" t="s">
        <v>10</v>
      </c>
      <c r="D19" s="7" t="s">
        <v>50</v>
      </c>
      <c r="E19" s="7" t="s">
        <v>47</v>
      </c>
      <c r="F19" s="7" t="s">
        <v>47</v>
      </c>
      <c r="G19" s="7" t="s">
        <v>47</v>
      </c>
      <c r="H19" s="7" t="s">
        <v>47</v>
      </c>
      <c r="I19" s="10"/>
      <c r="J19" s="10"/>
      <c r="K19" s="7" t="s">
        <v>47</v>
      </c>
      <c r="L19" s="7" t="s">
        <v>47</v>
      </c>
      <c r="M19" s="7" t="s">
        <v>47</v>
      </c>
      <c r="N19" s="7" t="s">
        <v>47</v>
      </c>
      <c r="O19" s="7" t="s">
        <v>47</v>
      </c>
      <c r="P19" s="10"/>
      <c r="Q19" s="10"/>
      <c r="R19" s="7" t="s">
        <v>47</v>
      </c>
      <c r="S19" s="7" t="s">
        <v>47</v>
      </c>
      <c r="T19" s="7" t="s">
        <v>47</v>
      </c>
      <c r="U19" s="7" t="s">
        <v>47</v>
      </c>
      <c r="V19" s="7" t="s">
        <v>47</v>
      </c>
      <c r="W19" s="10"/>
      <c r="X19" s="10"/>
      <c r="Y19" s="7" t="s">
        <v>47</v>
      </c>
      <c r="Z19" s="7" t="s">
        <v>50</v>
      </c>
      <c r="AA19" s="7" t="s">
        <v>47</v>
      </c>
      <c r="AB19" s="7" t="s">
        <v>47</v>
      </c>
      <c r="AC19" s="10"/>
      <c r="AD19" s="10"/>
      <c r="AE19" s="7" t="s">
        <v>47</v>
      </c>
      <c r="AF19" s="7" t="s">
        <v>47</v>
      </c>
      <c r="AG19" s="7" t="s">
        <v>47</v>
      </c>
      <c r="AH19" s="8">
        <f t="shared" si="3"/>
        <v>0</v>
      </c>
      <c r="AI19" s="8">
        <f t="shared" si="0"/>
        <v>2</v>
      </c>
      <c r="AJ19" s="8">
        <f t="shared" si="1"/>
        <v>1</v>
      </c>
      <c r="AK19" s="8">
        <f t="shared" si="2"/>
        <v>20</v>
      </c>
    </row>
    <row r="20" spans="2:37" ht="18.75" x14ac:dyDescent="0.3">
      <c r="B20" s="5" t="s">
        <v>37</v>
      </c>
      <c r="C20" s="6" t="s">
        <v>11</v>
      </c>
      <c r="D20" s="7" t="s">
        <v>47</v>
      </c>
      <c r="E20" s="7" t="s">
        <v>47</v>
      </c>
      <c r="F20" s="7" t="s">
        <v>47</v>
      </c>
      <c r="G20" s="7" t="s">
        <v>47</v>
      </c>
      <c r="H20" s="7" t="s">
        <v>47</v>
      </c>
      <c r="I20" s="10"/>
      <c r="J20" s="10"/>
      <c r="K20" s="7" t="s">
        <v>47</v>
      </c>
      <c r="L20" s="7" t="s">
        <v>47</v>
      </c>
      <c r="M20" s="7" t="s">
        <v>47</v>
      </c>
      <c r="N20" s="7" t="s">
        <v>47</v>
      </c>
      <c r="O20" s="7" t="s">
        <v>47</v>
      </c>
      <c r="P20" s="10"/>
      <c r="Q20" s="10"/>
      <c r="R20" s="7" t="s">
        <v>47</v>
      </c>
      <c r="S20" s="7" t="s">
        <v>47</v>
      </c>
      <c r="T20" s="7" t="s">
        <v>50</v>
      </c>
      <c r="U20" s="7" t="s">
        <v>47</v>
      </c>
      <c r="V20" s="7" t="s">
        <v>47</v>
      </c>
      <c r="W20" s="10"/>
      <c r="X20" s="10"/>
      <c r="Y20" s="7" t="s">
        <v>47</v>
      </c>
      <c r="Z20" s="7" t="s">
        <v>47</v>
      </c>
      <c r="AA20" s="7" t="s">
        <v>47</v>
      </c>
      <c r="AB20" s="7" t="s">
        <v>47</v>
      </c>
      <c r="AC20" s="10"/>
      <c r="AD20" s="10"/>
      <c r="AE20" s="7" t="s">
        <v>47</v>
      </c>
      <c r="AF20" s="7" t="s">
        <v>47</v>
      </c>
      <c r="AG20" s="7" t="s">
        <v>48</v>
      </c>
      <c r="AH20" s="8">
        <f t="shared" si="3"/>
        <v>1</v>
      </c>
      <c r="AI20" s="8">
        <f t="shared" si="0"/>
        <v>1</v>
      </c>
      <c r="AJ20" s="8">
        <f t="shared" si="1"/>
        <v>1</v>
      </c>
      <c r="AK20" s="8">
        <f t="shared" si="2"/>
        <v>20</v>
      </c>
    </row>
    <row r="21" spans="2:37" ht="18.75" x14ac:dyDescent="0.3">
      <c r="B21" s="5" t="s">
        <v>38</v>
      </c>
      <c r="C21" s="9" t="s">
        <v>12</v>
      </c>
      <c r="D21" s="7" t="s">
        <v>47</v>
      </c>
      <c r="E21" s="7" t="s">
        <v>47</v>
      </c>
      <c r="F21" s="7" t="s">
        <v>50</v>
      </c>
      <c r="G21" s="7" t="s">
        <v>47</v>
      </c>
      <c r="H21" s="7" t="s">
        <v>47</v>
      </c>
      <c r="I21" s="10"/>
      <c r="J21" s="10"/>
      <c r="K21" s="7" t="s">
        <v>47</v>
      </c>
      <c r="L21" s="7" t="s">
        <v>47</v>
      </c>
      <c r="M21" s="7" t="s">
        <v>50</v>
      </c>
      <c r="N21" s="7" t="s">
        <v>47</v>
      </c>
      <c r="O21" s="7" t="s">
        <v>47</v>
      </c>
      <c r="P21" s="10"/>
      <c r="Q21" s="10"/>
      <c r="R21" s="7" t="s">
        <v>47</v>
      </c>
      <c r="S21" s="7" t="s">
        <v>47</v>
      </c>
      <c r="T21" s="7" t="s">
        <v>47</v>
      </c>
      <c r="U21" s="7" t="s">
        <v>47</v>
      </c>
      <c r="V21" s="7" t="s">
        <v>47</v>
      </c>
      <c r="W21" s="10"/>
      <c r="X21" s="10"/>
      <c r="Y21" s="7" t="s">
        <v>47</v>
      </c>
      <c r="Z21" s="7" t="s">
        <v>47</v>
      </c>
      <c r="AA21" s="7" t="s">
        <v>47</v>
      </c>
      <c r="AB21" s="7" t="s">
        <v>47</v>
      </c>
      <c r="AC21" s="10"/>
      <c r="AD21" s="10"/>
      <c r="AE21" s="7" t="s">
        <v>47</v>
      </c>
      <c r="AF21" s="7" t="s">
        <v>47</v>
      </c>
      <c r="AG21" s="7" t="s">
        <v>47</v>
      </c>
      <c r="AH21" s="8">
        <f t="shared" si="3"/>
        <v>0</v>
      </c>
      <c r="AI21" s="8">
        <f t="shared" si="0"/>
        <v>2</v>
      </c>
      <c r="AJ21" s="8">
        <f t="shared" si="1"/>
        <v>0</v>
      </c>
      <c r="AK21" s="8">
        <f t="shared" si="2"/>
        <v>20</v>
      </c>
    </row>
    <row r="22" spans="2:37" ht="18.75" x14ac:dyDescent="0.3">
      <c r="B22" s="5" t="s">
        <v>39</v>
      </c>
      <c r="C22" s="6" t="s">
        <v>13</v>
      </c>
      <c r="D22" s="7" t="s">
        <v>47</v>
      </c>
      <c r="E22" s="7" t="s">
        <v>47</v>
      </c>
      <c r="F22" s="7" t="s">
        <v>47</v>
      </c>
      <c r="G22" s="7" t="s">
        <v>47</v>
      </c>
      <c r="H22" s="7" t="s">
        <v>47</v>
      </c>
      <c r="I22" s="10"/>
      <c r="J22" s="10"/>
      <c r="K22" s="7" t="s">
        <v>47</v>
      </c>
      <c r="L22" s="7" t="s">
        <v>47</v>
      </c>
      <c r="M22" s="7" t="s">
        <v>47</v>
      </c>
      <c r="N22" s="7" t="s">
        <v>49</v>
      </c>
      <c r="O22" s="7" t="s">
        <v>47</v>
      </c>
      <c r="P22" s="10"/>
      <c r="Q22" s="10"/>
      <c r="R22" s="7" t="s">
        <v>47</v>
      </c>
      <c r="S22" s="7" t="s">
        <v>47</v>
      </c>
      <c r="T22" s="7" t="s">
        <v>47</v>
      </c>
      <c r="U22" s="7" t="s">
        <v>47</v>
      </c>
      <c r="V22" s="7" t="s">
        <v>47</v>
      </c>
      <c r="W22" s="10"/>
      <c r="X22" s="10"/>
      <c r="Y22" s="7" t="s">
        <v>47</v>
      </c>
      <c r="Z22" s="7" t="s">
        <v>47</v>
      </c>
      <c r="AA22" s="7" t="s">
        <v>47</v>
      </c>
      <c r="AB22" s="7" t="s">
        <v>47</v>
      </c>
      <c r="AC22" s="10"/>
      <c r="AD22" s="10"/>
      <c r="AE22" s="7" t="s">
        <v>47</v>
      </c>
      <c r="AF22" s="7" t="s">
        <v>47</v>
      </c>
      <c r="AG22" s="7" t="s">
        <v>47</v>
      </c>
      <c r="AH22" s="8">
        <f t="shared" si="3"/>
        <v>0</v>
      </c>
      <c r="AI22" s="8">
        <f t="shared" si="0"/>
        <v>0</v>
      </c>
      <c r="AJ22" s="8">
        <f t="shared" si="1"/>
        <v>0</v>
      </c>
      <c r="AK22" s="8">
        <f t="shared" si="2"/>
        <v>21</v>
      </c>
    </row>
    <row r="23" spans="2:37" ht="18.75" x14ac:dyDescent="0.3">
      <c r="B23" s="5" t="s">
        <v>40</v>
      </c>
      <c r="C23" s="9" t="s">
        <v>14</v>
      </c>
      <c r="D23" s="7" t="s">
        <v>47</v>
      </c>
      <c r="E23" s="7" t="s">
        <v>47</v>
      </c>
      <c r="F23" s="7" t="s">
        <v>47</v>
      </c>
      <c r="G23" s="7" t="s">
        <v>47</v>
      </c>
      <c r="H23" s="7" t="s">
        <v>49</v>
      </c>
      <c r="I23" s="10"/>
      <c r="J23" s="10"/>
      <c r="K23" s="7" t="s">
        <v>47</v>
      </c>
      <c r="L23" s="7" t="s">
        <v>47</v>
      </c>
      <c r="M23" s="7" t="s">
        <v>47</v>
      </c>
      <c r="N23" s="7" t="s">
        <v>47</v>
      </c>
      <c r="O23" s="7" t="s">
        <v>47</v>
      </c>
      <c r="P23" s="10"/>
      <c r="Q23" s="10"/>
      <c r="R23" s="7" t="s">
        <v>50</v>
      </c>
      <c r="S23" s="7" t="s">
        <v>47</v>
      </c>
      <c r="T23" s="7" t="s">
        <v>47</v>
      </c>
      <c r="U23" s="7" t="s">
        <v>47</v>
      </c>
      <c r="V23" s="7" t="s">
        <v>47</v>
      </c>
      <c r="W23" s="10"/>
      <c r="X23" s="10"/>
      <c r="Y23" s="7" t="s">
        <v>47</v>
      </c>
      <c r="Z23" s="7" t="s">
        <v>49</v>
      </c>
      <c r="AA23" s="7" t="s">
        <v>47</v>
      </c>
      <c r="AB23" s="7" t="s">
        <v>47</v>
      </c>
      <c r="AC23" s="10"/>
      <c r="AD23" s="10"/>
      <c r="AE23" s="7" t="s">
        <v>47</v>
      </c>
      <c r="AF23" s="7" t="s">
        <v>50</v>
      </c>
      <c r="AG23" s="7" t="s">
        <v>47</v>
      </c>
      <c r="AH23" s="8">
        <f t="shared" si="3"/>
        <v>0</v>
      </c>
      <c r="AI23" s="8">
        <f t="shared" si="0"/>
        <v>2</v>
      </c>
      <c r="AJ23" s="8">
        <f t="shared" si="1"/>
        <v>1</v>
      </c>
      <c r="AK23" s="8">
        <f t="shared" si="2"/>
        <v>18</v>
      </c>
    </row>
    <row r="24" spans="2:37" ht="18.75" x14ac:dyDescent="0.3">
      <c r="B24" s="5" t="s">
        <v>41</v>
      </c>
      <c r="C24" s="6" t="s">
        <v>15</v>
      </c>
      <c r="D24" s="7" t="s">
        <v>47</v>
      </c>
      <c r="E24" s="7" t="s">
        <v>47</v>
      </c>
      <c r="F24" s="7" t="s">
        <v>47</v>
      </c>
      <c r="G24" s="7" t="s">
        <v>47</v>
      </c>
      <c r="H24" s="7" t="s">
        <v>47</v>
      </c>
      <c r="I24" s="10"/>
      <c r="J24" s="10"/>
      <c r="K24" s="7" t="s">
        <v>47</v>
      </c>
      <c r="L24" s="7" t="s">
        <v>48</v>
      </c>
      <c r="M24" s="7" t="s">
        <v>47</v>
      </c>
      <c r="N24" s="7" t="s">
        <v>47</v>
      </c>
      <c r="O24" s="7" t="s">
        <v>47</v>
      </c>
      <c r="P24" s="10"/>
      <c r="Q24" s="10"/>
      <c r="R24" s="7" t="s">
        <v>47</v>
      </c>
      <c r="S24" s="7" t="s">
        <v>47</v>
      </c>
      <c r="T24" s="7" t="s">
        <v>47</v>
      </c>
      <c r="U24" s="7" t="s">
        <v>47</v>
      </c>
      <c r="V24" s="7" t="s">
        <v>47</v>
      </c>
      <c r="W24" s="10"/>
      <c r="X24" s="10"/>
      <c r="Y24" s="7" t="s">
        <v>47</v>
      </c>
      <c r="Z24" s="7" t="s">
        <v>47</v>
      </c>
      <c r="AA24" s="7" t="s">
        <v>47</v>
      </c>
      <c r="AB24" s="7" t="s">
        <v>47</v>
      </c>
      <c r="AC24" s="10"/>
      <c r="AD24" s="10"/>
      <c r="AE24" s="7" t="s">
        <v>47</v>
      </c>
      <c r="AF24" s="7" t="s">
        <v>47</v>
      </c>
      <c r="AG24" s="7" t="s">
        <v>47</v>
      </c>
      <c r="AH24" s="8">
        <f t="shared" si="3"/>
        <v>1</v>
      </c>
      <c r="AI24" s="8">
        <f t="shared" si="0"/>
        <v>0</v>
      </c>
      <c r="AJ24" s="8">
        <f t="shared" si="1"/>
        <v>0</v>
      </c>
      <c r="AK24" s="8">
        <f t="shared" si="2"/>
        <v>21</v>
      </c>
    </row>
    <row r="25" spans="2:37" ht="18.75" x14ac:dyDescent="0.3">
      <c r="B25" s="5" t="s">
        <v>42</v>
      </c>
      <c r="C25" s="9" t="s">
        <v>16</v>
      </c>
      <c r="D25" s="7" t="s">
        <v>47</v>
      </c>
      <c r="E25" s="7" t="s">
        <v>47</v>
      </c>
      <c r="F25" s="7" t="s">
        <v>50</v>
      </c>
      <c r="G25" s="7" t="s">
        <v>47</v>
      </c>
      <c r="H25" s="7" t="s">
        <v>47</v>
      </c>
      <c r="I25" s="10"/>
      <c r="J25" s="10"/>
      <c r="K25" s="7" t="s">
        <v>47</v>
      </c>
      <c r="L25" s="7" t="s">
        <v>47</v>
      </c>
      <c r="M25" s="7" t="s">
        <v>47</v>
      </c>
      <c r="N25" s="7" t="s">
        <v>47</v>
      </c>
      <c r="O25" s="7" t="s">
        <v>47</v>
      </c>
      <c r="P25" s="10"/>
      <c r="Q25" s="10"/>
      <c r="R25" s="7" t="s">
        <v>47</v>
      </c>
      <c r="S25" s="7" t="s">
        <v>47</v>
      </c>
      <c r="T25" s="7" t="s">
        <v>47</v>
      </c>
      <c r="U25" s="7" t="s">
        <v>47</v>
      </c>
      <c r="V25" s="7" t="s">
        <v>47</v>
      </c>
      <c r="W25" s="10"/>
      <c r="X25" s="10"/>
      <c r="Y25" s="7" t="s">
        <v>47</v>
      </c>
      <c r="Z25" s="7" t="s">
        <v>47</v>
      </c>
      <c r="AA25" s="7" t="s">
        <v>47</v>
      </c>
      <c r="AB25" s="7" t="s">
        <v>47</v>
      </c>
      <c r="AC25" s="10"/>
      <c r="AD25" s="10"/>
      <c r="AE25" s="7" t="s">
        <v>47</v>
      </c>
      <c r="AF25" s="7" t="s">
        <v>47</v>
      </c>
      <c r="AG25" s="7" t="s">
        <v>47</v>
      </c>
      <c r="AH25" s="8">
        <f t="shared" si="3"/>
        <v>0</v>
      </c>
      <c r="AI25" s="8">
        <f t="shared" si="0"/>
        <v>1</v>
      </c>
      <c r="AJ25" s="8">
        <f t="shared" si="1"/>
        <v>0</v>
      </c>
      <c r="AK25" s="8">
        <f t="shared" si="2"/>
        <v>21</v>
      </c>
    </row>
    <row r="26" spans="2:37" ht="18.75" x14ac:dyDescent="0.3">
      <c r="B26" s="5" t="s">
        <v>43</v>
      </c>
      <c r="C26" s="6" t="s">
        <v>17</v>
      </c>
      <c r="D26" s="7" t="s">
        <v>47</v>
      </c>
      <c r="E26" s="7" t="s">
        <v>47</v>
      </c>
      <c r="F26" s="7" t="s">
        <v>47</v>
      </c>
      <c r="G26" s="7" t="s">
        <v>47</v>
      </c>
      <c r="H26" s="7" t="s">
        <v>47</v>
      </c>
      <c r="I26" s="10"/>
      <c r="J26" s="10"/>
      <c r="K26" s="7" t="s">
        <v>47</v>
      </c>
      <c r="L26" s="7" t="s">
        <v>47</v>
      </c>
      <c r="M26" s="7" t="s">
        <v>48</v>
      </c>
      <c r="N26" s="7" t="s">
        <v>47</v>
      </c>
      <c r="O26" s="7" t="s">
        <v>47</v>
      </c>
      <c r="P26" s="10"/>
      <c r="Q26" s="10"/>
      <c r="R26" s="7" t="s">
        <v>47</v>
      </c>
      <c r="S26" s="7" t="s">
        <v>47</v>
      </c>
      <c r="T26" s="7" t="s">
        <v>47</v>
      </c>
      <c r="U26" s="7" t="s">
        <v>50</v>
      </c>
      <c r="V26" s="7" t="s">
        <v>47</v>
      </c>
      <c r="W26" s="10"/>
      <c r="X26" s="10"/>
      <c r="Y26" s="7" t="s">
        <v>47</v>
      </c>
      <c r="Z26" s="7" t="s">
        <v>47</v>
      </c>
      <c r="AA26" s="7" t="s">
        <v>47</v>
      </c>
      <c r="AB26" s="7" t="s">
        <v>47</v>
      </c>
      <c r="AC26" s="10"/>
      <c r="AD26" s="10"/>
      <c r="AE26" s="7" t="s">
        <v>47</v>
      </c>
      <c r="AF26" s="7" t="s">
        <v>47</v>
      </c>
      <c r="AG26" s="7" t="s">
        <v>47</v>
      </c>
      <c r="AH26" s="8">
        <f t="shared" si="3"/>
        <v>1</v>
      </c>
      <c r="AI26" s="8">
        <f t="shared" si="0"/>
        <v>1</v>
      </c>
      <c r="AJ26" s="8">
        <f t="shared" si="1"/>
        <v>1</v>
      </c>
      <c r="AK26" s="8">
        <f t="shared" si="2"/>
        <v>20</v>
      </c>
    </row>
    <row r="27" spans="2:37" ht="18.75" x14ac:dyDescent="0.3">
      <c r="B27" s="5" t="s">
        <v>44</v>
      </c>
      <c r="C27" s="9" t="s">
        <v>18</v>
      </c>
      <c r="D27" s="7" t="s">
        <v>47</v>
      </c>
      <c r="E27" s="7" t="s">
        <v>47</v>
      </c>
      <c r="F27" s="7" t="s">
        <v>47</v>
      </c>
      <c r="G27" s="7" t="s">
        <v>47</v>
      </c>
      <c r="H27" s="7" t="s">
        <v>47</v>
      </c>
      <c r="I27" s="10"/>
      <c r="J27" s="10"/>
      <c r="K27" s="7" t="s">
        <v>47</v>
      </c>
      <c r="L27" s="7" t="s">
        <v>47</v>
      </c>
      <c r="M27" s="7" t="s">
        <v>47</v>
      </c>
      <c r="N27" s="7" t="s">
        <v>47</v>
      </c>
      <c r="O27" s="7" t="s">
        <v>47</v>
      </c>
      <c r="P27" s="10"/>
      <c r="Q27" s="10"/>
      <c r="R27" s="7" t="s">
        <v>47</v>
      </c>
      <c r="S27" s="7" t="s">
        <v>47</v>
      </c>
      <c r="T27" s="7" t="s">
        <v>47</v>
      </c>
      <c r="U27" s="7" t="s">
        <v>47</v>
      </c>
      <c r="V27" s="7" t="s">
        <v>47</v>
      </c>
      <c r="W27" s="10"/>
      <c r="X27" s="10"/>
      <c r="Y27" s="7" t="s">
        <v>47</v>
      </c>
      <c r="Z27" s="7" t="s">
        <v>50</v>
      </c>
      <c r="AA27" s="7" t="s">
        <v>47</v>
      </c>
      <c r="AB27" s="7" t="s">
        <v>47</v>
      </c>
      <c r="AC27" s="10"/>
      <c r="AD27" s="10"/>
      <c r="AE27" s="7" t="s">
        <v>47</v>
      </c>
      <c r="AF27" s="7" t="s">
        <v>50</v>
      </c>
      <c r="AG27" s="7" t="s">
        <v>47</v>
      </c>
      <c r="AH27" s="8">
        <f t="shared" si="3"/>
        <v>0</v>
      </c>
      <c r="AI27" s="8">
        <f t="shared" si="0"/>
        <v>2</v>
      </c>
      <c r="AJ27" s="8">
        <f t="shared" si="1"/>
        <v>2</v>
      </c>
      <c r="AK27" s="8">
        <f t="shared" si="2"/>
        <v>20</v>
      </c>
    </row>
    <row r="28" spans="2:37" ht="18.75" x14ac:dyDescent="0.3">
      <c r="B28" s="5" t="s">
        <v>45</v>
      </c>
      <c r="C28" s="6" t="s">
        <v>19</v>
      </c>
      <c r="D28" s="7" t="s">
        <v>47</v>
      </c>
      <c r="E28" s="7" t="s">
        <v>50</v>
      </c>
      <c r="F28" s="7" t="s">
        <v>47</v>
      </c>
      <c r="G28" s="7" t="s">
        <v>47</v>
      </c>
      <c r="H28" s="7" t="s">
        <v>47</v>
      </c>
      <c r="I28" s="10"/>
      <c r="J28" s="10"/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10"/>
      <c r="Q28" s="10"/>
      <c r="R28" s="7" t="s">
        <v>47</v>
      </c>
      <c r="S28" s="7" t="s">
        <v>48</v>
      </c>
      <c r="T28" s="7" t="s">
        <v>47</v>
      </c>
      <c r="U28" s="7" t="s">
        <v>47</v>
      </c>
      <c r="V28" s="7" t="s">
        <v>47</v>
      </c>
      <c r="W28" s="10"/>
      <c r="X28" s="10"/>
      <c r="Y28" s="7" t="s">
        <v>47</v>
      </c>
      <c r="Z28" s="7" t="s">
        <v>47</v>
      </c>
      <c r="AA28" s="7" t="s">
        <v>47</v>
      </c>
      <c r="AB28" s="7" t="s">
        <v>47</v>
      </c>
      <c r="AC28" s="10"/>
      <c r="AD28" s="10"/>
      <c r="AE28" s="7" t="s">
        <v>47</v>
      </c>
      <c r="AF28" s="7" t="s">
        <v>47</v>
      </c>
      <c r="AG28" s="7" t="s">
        <v>47</v>
      </c>
      <c r="AH28" s="8">
        <f t="shared" si="3"/>
        <v>1</v>
      </c>
      <c r="AI28" s="8">
        <f t="shared" si="0"/>
        <v>1</v>
      </c>
      <c r="AJ28" s="8">
        <f t="shared" si="1"/>
        <v>0</v>
      </c>
      <c r="AK28" s="8">
        <f t="shared" si="2"/>
        <v>20</v>
      </c>
    </row>
    <row r="29" spans="2:37" ht="18.75" x14ac:dyDescent="0.3">
      <c r="B29" s="5" t="s">
        <v>46</v>
      </c>
      <c r="C29" s="9" t="s">
        <v>20</v>
      </c>
      <c r="D29" s="7" t="s">
        <v>47</v>
      </c>
      <c r="E29" s="7" t="s">
        <v>47</v>
      </c>
      <c r="F29" s="7" t="s">
        <v>47</v>
      </c>
      <c r="G29" s="7" t="s">
        <v>47</v>
      </c>
      <c r="H29" s="7" t="s">
        <v>47</v>
      </c>
      <c r="I29" s="10"/>
      <c r="J29" s="10"/>
      <c r="K29" s="7" t="s">
        <v>47</v>
      </c>
      <c r="L29" s="7" t="s">
        <v>48</v>
      </c>
      <c r="M29" s="7" t="s">
        <v>47</v>
      </c>
      <c r="N29" s="7" t="s">
        <v>47</v>
      </c>
      <c r="O29" s="7" t="s">
        <v>47</v>
      </c>
      <c r="P29" s="10"/>
      <c r="Q29" s="10"/>
      <c r="R29" s="7" t="s">
        <v>47</v>
      </c>
      <c r="S29" s="7" t="s">
        <v>47</v>
      </c>
      <c r="T29" s="7" t="s">
        <v>47</v>
      </c>
      <c r="U29" s="7" t="s">
        <v>48</v>
      </c>
      <c r="V29" s="7" t="s">
        <v>47</v>
      </c>
      <c r="W29" s="10"/>
      <c r="X29" s="10"/>
      <c r="Y29" s="7" t="s">
        <v>47</v>
      </c>
      <c r="Z29" s="7" t="s">
        <v>48</v>
      </c>
      <c r="AA29" s="7" t="s">
        <v>47</v>
      </c>
      <c r="AB29" s="7" t="s">
        <v>47</v>
      </c>
      <c r="AC29" s="10"/>
      <c r="AD29" s="10"/>
      <c r="AE29" s="7" t="s">
        <v>47</v>
      </c>
      <c r="AF29" s="7" t="s">
        <v>47</v>
      </c>
      <c r="AG29" s="7" t="s">
        <v>47</v>
      </c>
      <c r="AH29" s="8">
        <f t="shared" si="3"/>
        <v>3</v>
      </c>
      <c r="AI29" s="8">
        <f t="shared" si="0"/>
        <v>0</v>
      </c>
      <c r="AJ29" s="8">
        <f t="shared" si="1"/>
        <v>0</v>
      </c>
      <c r="AK29" s="8">
        <f t="shared" si="2"/>
        <v>19</v>
      </c>
    </row>
  </sheetData>
  <mergeCells count="1">
    <mergeCell ref="B1:AK6"/>
  </mergeCells>
  <phoneticPr fontId="3" type="noConversion"/>
  <conditionalFormatting sqref="D10:AG29">
    <cfRule type="cellIs" dxfId="4" priority="2" operator="equal">
      <formula>"C"</formula>
    </cfRule>
    <cfRule type="cellIs" dxfId="3" priority="3" operator="equal">
      <formula>"s"</formula>
    </cfRule>
    <cfRule type="cellIs" dxfId="2" priority="4" operator="equal">
      <formula>"A"</formula>
    </cfRule>
    <cfRule type="cellIs" dxfId="1" priority="5" operator="equal">
      <formula>"."</formula>
    </cfRule>
  </conditionalFormatting>
  <conditionalFormatting sqref="AK10:AK29">
    <cfRule type="cellIs" dxfId="0" priority="1" operator="lessThan">
      <formula>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2026-04-13T14:18:03Z</dcterms:created>
  <dcterms:modified xsi:type="dcterms:W3CDTF">2026-04-13T15:09:09Z</dcterms:modified>
</cp:coreProperties>
</file>