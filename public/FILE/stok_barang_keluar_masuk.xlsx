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Portofolio\"/>
    </mc:Choice>
  </mc:AlternateContent>
  <xr:revisionPtr revIDLastSave="0" documentId="8_{CCD72D6F-38F9-47F9-BA40-EF06F0E96C9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CAP" sheetId="3" r:id="rId1"/>
    <sheet name="MASUK" sheetId="4" r:id="rId2"/>
    <sheet name="KELUAR" sheetId="6" r:id="rId3"/>
  </sheets>
  <calcPr calcId="181029"/>
</workbook>
</file>

<file path=xl/calcChain.xml><?xml version="1.0" encoding="utf-8"?>
<calcChain xmlns="http://schemas.openxmlformats.org/spreadsheetml/2006/main">
  <c r="C24" i="6" l="1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E7" i="3" s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5" i="4"/>
  <c r="E26" i="3" l="1"/>
  <c r="E22" i="3"/>
  <c r="E18" i="3"/>
  <c r="E14" i="3"/>
  <c r="E10" i="3"/>
  <c r="E25" i="3"/>
  <c r="E21" i="3"/>
  <c r="E17" i="3"/>
  <c r="E13" i="3"/>
  <c r="E9" i="3"/>
  <c r="E24" i="3"/>
  <c r="E20" i="3"/>
  <c r="E16" i="3"/>
  <c r="E12" i="3"/>
  <c r="E8" i="3"/>
  <c r="E27" i="3"/>
  <c r="E23" i="3"/>
  <c r="E19" i="3"/>
  <c r="E15" i="3"/>
  <c r="E11" i="3"/>
  <c r="E5" i="3"/>
  <c r="E6" i="3"/>
  <c r="D5" i="3"/>
  <c r="D6" i="3"/>
  <c r="F6" i="3" s="1"/>
  <c r="D17" i="3"/>
  <c r="D25" i="3"/>
  <c r="F25" i="3" s="1"/>
  <c r="D13" i="3"/>
  <c r="F13" i="3" s="1"/>
  <c r="F5" i="3"/>
  <c r="D24" i="3"/>
  <c r="D20" i="3"/>
  <c r="D16" i="3"/>
  <c r="F16" i="3" s="1"/>
  <c r="D12" i="3"/>
  <c r="F12" i="3" s="1"/>
  <c r="D8" i="3"/>
  <c r="D9" i="3"/>
  <c r="F9" i="3" s="1"/>
  <c r="D27" i="3"/>
  <c r="D23" i="3"/>
  <c r="F23" i="3" s="1"/>
  <c r="D19" i="3"/>
  <c r="D15" i="3"/>
  <c r="D11" i="3"/>
  <c r="D7" i="3"/>
  <c r="F7" i="3" s="1"/>
  <c r="D21" i="3"/>
  <c r="D26" i="3"/>
  <c r="F26" i="3" s="1"/>
  <c r="D22" i="3"/>
  <c r="F22" i="3" s="1"/>
  <c r="D18" i="3"/>
  <c r="F18" i="3" s="1"/>
  <c r="D14" i="3"/>
  <c r="D10" i="3"/>
  <c r="F10" i="3" s="1"/>
  <c r="F11" i="3" l="1"/>
  <c r="F27" i="3"/>
  <c r="F15" i="3"/>
  <c r="F20" i="3"/>
  <c r="F14" i="3"/>
  <c r="F21" i="3"/>
  <c r="F19" i="3"/>
  <c r="F8" i="3"/>
  <c r="F24" i="3"/>
  <c r="F17" i="3"/>
</calcChain>
</file>

<file path=xl/sharedStrings.xml><?xml version="1.0" encoding="utf-8"?>
<sst xmlns="http://schemas.openxmlformats.org/spreadsheetml/2006/main" count="104" uniqueCount="59">
  <si>
    <t>Stok Awal</t>
  </si>
  <si>
    <t>Stok Akhir</t>
  </si>
  <si>
    <t>Laporan Stock Barang</t>
  </si>
  <si>
    <t xml:space="preserve">Periode : </t>
  </si>
  <si>
    <t xml:space="preserve">Kode </t>
  </si>
  <si>
    <t>Nama</t>
  </si>
  <si>
    <t xml:space="preserve">Masuk </t>
  </si>
  <si>
    <t>keluar</t>
  </si>
  <si>
    <t>BGN203</t>
  </si>
  <si>
    <t>BGN204</t>
  </si>
  <si>
    <t>OWM290</t>
  </si>
  <si>
    <t>BGN205</t>
  </si>
  <si>
    <t>BGN206</t>
  </si>
  <si>
    <t>OWM291</t>
  </si>
  <si>
    <t>BGN207</t>
  </si>
  <si>
    <t>BGN208</t>
  </si>
  <si>
    <t>OWM292</t>
  </si>
  <si>
    <t>BGN209</t>
  </si>
  <si>
    <t>BGN210</t>
  </si>
  <si>
    <t>OWM293</t>
  </si>
  <si>
    <t>BGN211</t>
  </si>
  <si>
    <t>BGN212</t>
  </si>
  <si>
    <t>OWM294</t>
  </si>
  <si>
    <t>BGN213</t>
  </si>
  <si>
    <t>BGN214</t>
  </si>
  <si>
    <t>OWM295</t>
  </si>
  <si>
    <t>BGN215</t>
  </si>
  <si>
    <t>BGN216</t>
  </si>
  <si>
    <t>OWM296</t>
  </si>
  <si>
    <t>BGN217</t>
  </si>
  <si>
    <t>BGN218</t>
  </si>
  <si>
    <t>Monitor Gaming 27 Inch</t>
  </si>
  <si>
    <t>Webcam Full HD 1080p</t>
  </si>
  <si>
    <t>Headset Bluetooth Noise Cancelling</t>
  </si>
  <si>
    <t>Printer Inkjet Warna</t>
  </si>
  <si>
    <t>Hardisk Eksternal 1TB</t>
  </si>
  <si>
    <t>Meja Kerja Ergonomis</t>
  </si>
  <si>
    <t>Kursi Kantor Hidrolik</t>
  </si>
  <si>
    <t>Lampu Meja LED</t>
  </si>
  <si>
    <t>Kabel LAN Cat6 10 Meter</t>
  </si>
  <si>
    <t>Power Bank 20.000 mAh</t>
  </si>
  <si>
    <t>Mouse Pad Anti-Slip</t>
  </si>
  <si>
    <t>Speaker Portable Bluetooth</t>
  </si>
  <si>
    <t>Router Wi-Fi Dual Band</t>
  </si>
  <si>
    <t>Keyboard Wireless Slim</t>
  </si>
  <si>
    <t>USB Hub 4 Ports</t>
  </si>
  <si>
    <t>Tas Laptop Waterproof</t>
  </si>
  <si>
    <t>Microphone Condenser USB</t>
  </si>
  <si>
    <t>Adaptor Charger 65W</t>
  </si>
  <si>
    <t>Pen Tablet Digital</t>
  </si>
  <si>
    <t>Stand Laptop Aluminium</t>
  </si>
  <si>
    <t>Docking Station Triple Display</t>
  </si>
  <si>
    <t>Mechanical Keyboard TKL (Tenkeyless)</t>
  </si>
  <si>
    <t>SSD NVMe 500GB</t>
  </si>
  <si>
    <t>Laporan Stock Barang Masuk</t>
  </si>
  <si>
    <t xml:space="preserve">Tanggal </t>
  </si>
  <si>
    <t>Kode</t>
  </si>
  <si>
    <t>Laporan Stock Barang Keluar</t>
  </si>
  <si>
    <t xml:space="preserve">KELUAR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</si>
</sst>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7" fontId="0" fillId="0" borderId="0" xfId="0" applyNumberFormat="1"/>
    <xf numFmtId="0" fontId="0" fillId="0" borderId="0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0" fillId="3" borderId="2" xfId="0" applyFont="1" applyFill="1" applyBorder="1" applyAlignment="1">
      <alignment vertical="center"/>
    </xf>
    <xf numFmtId="15" fontId="0" fillId="0" borderId="2" xfId="0" applyNumberFormat="1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17" fontId="0" fillId="0" borderId="0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24A1-F96E-4986-8C11-F7B165A886FB}">
  <dimension ref="A1:F31"/>
  <sheetViews>
    <sheetView tabSelected="1" workbookViewId="0">
      <selection activeCell="D27" sqref="D27"/>
    </sheetView>
  </sheetViews>
  <sheetFormatPr defaultRowHeight="15" x14ac:dyDescent="0.25"/>
  <cols>
    <col min="2" max="2" width="38.28515625" customWidth="1"/>
    <col min="5" max="5" width="9.140625" customWidth="1"/>
    <col min="6" max="6" width="14.85546875" customWidth="1"/>
  </cols>
  <sheetData>
    <row r="1" spans="1:6" ht="18.75" customHeight="1" x14ac:dyDescent="0.25">
      <c r="A1" s="6" t="s">
        <v>2</v>
      </c>
      <c r="B1" s="7"/>
      <c r="C1" s="7"/>
      <c r="D1" s="7"/>
      <c r="E1" s="7"/>
      <c r="F1" s="8"/>
    </row>
    <row r="2" spans="1:6" x14ac:dyDescent="0.25">
      <c r="A2" s="9"/>
      <c r="B2" s="10"/>
      <c r="C2" s="10"/>
      <c r="D2" s="10"/>
      <c r="E2" s="10"/>
      <c r="F2" s="11"/>
    </row>
    <row r="3" spans="1:6" x14ac:dyDescent="0.25">
      <c r="A3" t="s">
        <v>3</v>
      </c>
      <c r="B3" s="1">
        <v>46023</v>
      </c>
    </row>
    <row r="4" spans="1:6" ht="20.100000000000001" customHeight="1" x14ac:dyDescent="0.25">
      <c r="A4" s="5" t="s">
        <v>4</v>
      </c>
      <c r="B4" s="5" t="s">
        <v>5</v>
      </c>
      <c r="C4" s="5" t="s">
        <v>0</v>
      </c>
      <c r="D4" s="5" t="s">
        <v>6</v>
      </c>
      <c r="E4" s="5" t="s">
        <v>7</v>
      </c>
      <c r="F4" s="5" t="s">
        <v>1</v>
      </c>
    </row>
    <row r="5" spans="1:6" x14ac:dyDescent="0.25">
      <c r="A5" s="4" t="s">
        <v>8</v>
      </c>
      <c r="B5" s="13" t="s">
        <v>31</v>
      </c>
      <c r="C5" s="4">
        <v>2032</v>
      </c>
      <c r="D5" s="4">
        <f>SUMIF(MASUK!$C$5:$C$23, RECAP!B5, MASUK!D5:D23)</f>
        <v>12</v>
      </c>
      <c r="E5" s="4">
        <f>SUMIF(KELUAR!$C$6:$C$24, RECAP!$B$5, KELUAR!$D$6:$D$24)</f>
        <v>12</v>
      </c>
      <c r="F5" s="4">
        <f>C5+D5-E5</f>
        <v>2032</v>
      </c>
    </row>
    <row r="6" spans="1:6" x14ac:dyDescent="0.25">
      <c r="A6" s="4" t="s">
        <v>9</v>
      </c>
      <c r="B6" s="13" t="s">
        <v>32</v>
      </c>
      <c r="C6" s="4">
        <v>2032</v>
      </c>
      <c r="D6" s="4">
        <f>SUMIF(MASUK!$C$5:$C$23, RECAP!B6, MASUK!D6:D24)</f>
        <v>43</v>
      </c>
      <c r="E6" s="4">
        <f>SUMIF(KELUAR!$C$6:$C$24, RECAP!$B$5, KELUAR!$D$6:$D$24)</f>
        <v>12</v>
      </c>
      <c r="F6" s="4">
        <f t="shared" ref="F6:F27" si="0">C6+D6-E6</f>
        <v>2063</v>
      </c>
    </row>
    <row r="7" spans="1:6" x14ac:dyDescent="0.25">
      <c r="A7" s="4" t="s">
        <v>10</v>
      </c>
      <c r="B7" s="13" t="s">
        <v>33</v>
      </c>
      <c r="C7" s="4">
        <v>2032</v>
      </c>
      <c r="D7" s="4">
        <f>SUMIF(MASUK!$C$5:$C$23, RECAP!B7, MASUK!D7:D25)</f>
        <v>53</v>
      </c>
      <c r="E7" s="4">
        <f>SUMIF(KELUAR!$C$6:$C$24, RECAP!$B$5, KELUAR!$D$6:$D$24)</f>
        <v>12</v>
      </c>
      <c r="F7" s="4">
        <f t="shared" si="0"/>
        <v>2073</v>
      </c>
    </row>
    <row r="8" spans="1:6" x14ac:dyDescent="0.25">
      <c r="A8" s="4" t="s">
        <v>11</v>
      </c>
      <c r="B8" s="13" t="s">
        <v>34</v>
      </c>
      <c r="C8" s="4">
        <v>2032</v>
      </c>
      <c r="D8" s="4">
        <f>SUMIF(MASUK!$C$5:$C$23, RECAP!B8, MASUK!D8:D26)</f>
        <v>57</v>
      </c>
      <c r="E8" s="4">
        <f>SUMIF(KELUAR!$C$6:$C$24, RECAP!$B$5, KELUAR!$D$6:$D$24)</f>
        <v>12</v>
      </c>
      <c r="F8" s="4">
        <f t="shared" si="0"/>
        <v>2077</v>
      </c>
    </row>
    <row r="9" spans="1:6" x14ac:dyDescent="0.25">
      <c r="A9" s="4" t="s">
        <v>12</v>
      </c>
      <c r="B9" s="13" t="s">
        <v>35</v>
      </c>
      <c r="C9" s="4">
        <v>2032</v>
      </c>
      <c r="D9" s="4">
        <f>SUMIF(MASUK!$C$5:$C$23, RECAP!B9, MASUK!D9:D27)</f>
        <v>104</v>
      </c>
      <c r="E9" s="4">
        <f>SUMIF(KELUAR!$C$6:$C$24, RECAP!$B$5, KELUAR!$D$6:$D$24)</f>
        <v>12</v>
      </c>
      <c r="F9" s="4">
        <f t="shared" si="0"/>
        <v>2124</v>
      </c>
    </row>
    <row r="10" spans="1:6" x14ac:dyDescent="0.25">
      <c r="A10" s="4" t="s">
        <v>13</v>
      </c>
      <c r="B10" s="13" t="s">
        <v>36</v>
      </c>
      <c r="C10" s="4">
        <v>2032</v>
      </c>
      <c r="D10" s="4">
        <f>SUMIF(MASUK!$C$5:$C$23, RECAP!B10, MASUK!D10:D28)</f>
        <v>65</v>
      </c>
      <c r="E10" s="4">
        <f>SUMIF(KELUAR!$C$6:$C$24, RECAP!$B$5, KELUAR!$D$6:$D$24)</f>
        <v>12</v>
      </c>
      <c r="F10" s="4">
        <f t="shared" si="0"/>
        <v>2085</v>
      </c>
    </row>
    <row r="11" spans="1:6" x14ac:dyDescent="0.25">
      <c r="A11" s="4" t="s">
        <v>14</v>
      </c>
      <c r="B11" s="13" t="s">
        <v>37</v>
      </c>
      <c r="C11" s="4">
        <v>2032</v>
      </c>
      <c r="D11" s="4">
        <f>SUMIF(MASUK!$C$5:$C$23, RECAP!B11, MASUK!D11:D29)</f>
        <v>69</v>
      </c>
      <c r="E11" s="4">
        <f>SUMIF(KELUAR!$C$6:$C$24, RECAP!$B$5, KELUAR!$D$6:$D$24)</f>
        <v>12</v>
      </c>
      <c r="F11" s="4">
        <f t="shared" si="0"/>
        <v>2089</v>
      </c>
    </row>
    <row r="12" spans="1:6" x14ac:dyDescent="0.25">
      <c r="A12" s="4" t="s">
        <v>15</v>
      </c>
      <c r="B12" s="13" t="s">
        <v>38</v>
      </c>
      <c r="C12" s="4">
        <v>2032</v>
      </c>
      <c r="D12" s="4">
        <f>SUMIF(MASUK!$C$5:$C$23, RECAP!B12, MASUK!D12:D30)</f>
        <v>73</v>
      </c>
      <c r="E12" s="4">
        <f>SUMIF(KELUAR!$C$6:$C$24, RECAP!$B$5, KELUAR!$D$6:$D$24)</f>
        <v>12</v>
      </c>
      <c r="F12" s="4">
        <f t="shared" si="0"/>
        <v>2093</v>
      </c>
    </row>
    <row r="13" spans="1:6" x14ac:dyDescent="0.25">
      <c r="A13" s="4" t="s">
        <v>16</v>
      </c>
      <c r="B13" s="13" t="s">
        <v>39</v>
      </c>
      <c r="C13" s="4">
        <v>2032</v>
      </c>
      <c r="D13" s="4">
        <f>SUMIF(MASUK!$C$5:$C$23, RECAP!B13, MASUK!D13:D31)</f>
        <v>0</v>
      </c>
      <c r="E13" s="4">
        <f>SUMIF(KELUAR!$C$6:$C$24, RECAP!$B$5, KELUAR!$D$6:$D$24)</f>
        <v>12</v>
      </c>
      <c r="F13" s="4">
        <f t="shared" si="0"/>
        <v>2020</v>
      </c>
    </row>
    <row r="14" spans="1:6" x14ac:dyDescent="0.25">
      <c r="A14" s="4" t="s">
        <v>17</v>
      </c>
      <c r="B14" s="13" t="s">
        <v>40</v>
      </c>
      <c r="C14" s="4">
        <v>2032</v>
      </c>
      <c r="D14" s="4">
        <f>SUMIF(MASUK!$C$5:$C$23, RECAP!B14, MASUK!D14:D32)</f>
        <v>0</v>
      </c>
      <c r="E14" s="4">
        <f>SUMIF(KELUAR!$C$6:$C$24, RECAP!$B$5, KELUAR!$D$6:$D$24)</f>
        <v>12</v>
      </c>
      <c r="F14" s="4">
        <f t="shared" si="0"/>
        <v>2020</v>
      </c>
    </row>
    <row r="15" spans="1:6" x14ac:dyDescent="0.25">
      <c r="A15" s="4" t="s">
        <v>18</v>
      </c>
      <c r="B15" s="13" t="s">
        <v>41</v>
      </c>
      <c r="C15" s="4">
        <v>2032</v>
      </c>
      <c r="D15" s="4">
        <f>SUMIF(MASUK!$C$5:$C$23, RECAP!B15, MASUK!D15:D33)</f>
        <v>0</v>
      </c>
      <c r="E15" s="4">
        <f>SUMIF(KELUAR!$C$6:$C$24, RECAP!$B$5, KELUAR!$D$6:$D$24)</f>
        <v>12</v>
      </c>
      <c r="F15" s="4">
        <f t="shared" si="0"/>
        <v>2020</v>
      </c>
    </row>
    <row r="16" spans="1:6" x14ac:dyDescent="0.25">
      <c r="A16" s="4" t="s">
        <v>19</v>
      </c>
      <c r="B16" s="13" t="s">
        <v>42</v>
      </c>
      <c r="C16" s="4">
        <v>2032</v>
      </c>
      <c r="D16" s="4">
        <f>SUMIF(MASUK!$C$5:$C$23, RECAP!B16, MASUK!D16:D34)</f>
        <v>0</v>
      </c>
      <c r="E16" s="4">
        <f>SUMIF(KELUAR!$C$6:$C$24, RECAP!$B$5, KELUAR!$D$6:$D$24)</f>
        <v>12</v>
      </c>
      <c r="F16" s="4">
        <f t="shared" si="0"/>
        <v>2020</v>
      </c>
    </row>
    <row r="17" spans="1:6" x14ac:dyDescent="0.25">
      <c r="A17" s="4" t="s">
        <v>20</v>
      </c>
      <c r="B17" s="13" t="s">
        <v>43</v>
      </c>
      <c r="C17" s="4">
        <v>2032</v>
      </c>
      <c r="D17" s="4">
        <f>SUMIF(MASUK!$C$5:$C$23, RECAP!B17, MASUK!D17:D35)</f>
        <v>0</v>
      </c>
      <c r="E17" s="4">
        <f>SUMIF(KELUAR!$C$6:$C$24, RECAP!$B$5, KELUAR!$D$6:$D$24)</f>
        <v>12</v>
      </c>
      <c r="F17" s="4">
        <f t="shared" si="0"/>
        <v>2020</v>
      </c>
    </row>
    <row r="18" spans="1:6" x14ac:dyDescent="0.25">
      <c r="A18" s="4" t="s">
        <v>21</v>
      </c>
      <c r="B18" s="13" t="s">
        <v>44</v>
      </c>
      <c r="C18" s="4">
        <v>2032</v>
      </c>
      <c r="D18" s="4">
        <f>SUMIF(MASUK!$C$5:$C$23, RECAP!B18, MASUK!D18:D36)</f>
        <v>0</v>
      </c>
      <c r="E18" s="4">
        <f>SUMIF(KELUAR!$C$6:$C$24, RECAP!$B$5, KELUAR!$D$6:$D$24)</f>
        <v>12</v>
      </c>
      <c r="F18" s="4">
        <f t="shared" si="0"/>
        <v>2020</v>
      </c>
    </row>
    <row r="19" spans="1:6" x14ac:dyDescent="0.25">
      <c r="A19" s="4" t="s">
        <v>22</v>
      </c>
      <c r="B19" s="13" t="s">
        <v>45</v>
      </c>
      <c r="C19" s="4">
        <v>2032</v>
      </c>
      <c r="D19" s="4">
        <f>SUMIF(MASUK!$C$5:$C$23, RECAP!B19, MASUK!D19:D37)</f>
        <v>0</v>
      </c>
      <c r="E19" s="4">
        <f>SUMIF(KELUAR!$C$6:$C$24, RECAP!$B$5, KELUAR!$D$6:$D$24)</f>
        <v>12</v>
      </c>
      <c r="F19" s="4">
        <f t="shared" si="0"/>
        <v>2020</v>
      </c>
    </row>
    <row r="20" spans="1:6" x14ac:dyDescent="0.25">
      <c r="A20" s="4" t="s">
        <v>23</v>
      </c>
      <c r="B20" s="13" t="s">
        <v>46</v>
      </c>
      <c r="C20" s="4">
        <v>2032</v>
      </c>
      <c r="D20" s="4">
        <f>SUMIF(MASUK!$C$5:$C$23, RECAP!B20, MASUK!D20:D38)</f>
        <v>71</v>
      </c>
      <c r="E20" s="4">
        <f>SUMIF(KELUAR!$C$6:$C$24, RECAP!$B$5, KELUAR!$D$6:$D$24)</f>
        <v>12</v>
      </c>
      <c r="F20" s="4">
        <f t="shared" si="0"/>
        <v>2091</v>
      </c>
    </row>
    <row r="21" spans="1:6" x14ac:dyDescent="0.25">
      <c r="A21" s="4" t="s">
        <v>24</v>
      </c>
      <c r="B21" s="13" t="s">
        <v>47</v>
      </c>
      <c r="C21" s="4">
        <v>2032</v>
      </c>
      <c r="D21" s="4">
        <f>SUMIF(MASUK!$C$5:$C$23, RECAP!B21, MASUK!D21:D39)</f>
        <v>75</v>
      </c>
      <c r="E21" s="4">
        <f>SUMIF(KELUAR!$C$6:$C$24, RECAP!$B$5, KELUAR!$D$6:$D$24)</f>
        <v>12</v>
      </c>
      <c r="F21" s="4">
        <f t="shared" si="0"/>
        <v>2095</v>
      </c>
    </row>
    <row r="22" spans="1:6" x14ac:dyDescent="0.25">
      <c r="A22" s="4" t="s">
        <v>25</v>
      </c>
      <c r="B22" s="13" t="s">
        <v>48</v>
      </c>
      <c r="C22" s="4">
        <v>2032</v>
      </c>
      <c r="D22" s="4">
        <f>SUMIF(MASUK!$C$5:$C$23, RECAP!B22, MASUK!D22:D40)</f>
        <v>0</v>
      </c>
      <c r="E22" s="4">
        <f>SUMIF(KELUAR!$C$6:$C$24, RECAP!$B$5, KELUAR!$D$6:$D$24)</f>
        <v>12</v>
      </c>
      <c r="F22" s="4">
        <f t="shared" si="0"/>
        <v>2020</v>
      </c>
    </row>
    <row r="23" spans="1:6" x14ac:dyDescent="0.25">
      <c r="A23" s="4" t="s">
        <v>26</v>
      </c>
      <c r="B23" s="13" t="s">
        <v>49</v>
      </c>
      <c r="C23" s="4">
        <v>2032</v>
      </c>
      <c r="D23" s="4">
        <f>SUMIF(MASUK!$C$5:$C$23, RECAP!B23, MASUK!D23:D41)</f>
        <v>0</v>
      </c>
      <c r="E23" s="4">
        <f>SUMIF(KELUAR!$C$6:$C$24, RECAP!$B$5, KELUAR!$D$6:$D$24)</f>
        <v>12</v>
      </c>
      <c r="F23" s="4">
        <f t="shared" si="0"/>
        <v>2020</v>
      </c>
    </row>
    <row r="24" spans="1:6" x14ac:dyDescent="0.25">
      <c r="A24" s="4" t="s">
        <v>27</v>
      </c>
      <c r="B24" s="13" t="s">
        <v>50</v>
      </c>
      <c r="C24" s="4">
        <v>2032</v>
      </c>
      <c r="D24" s="4">
        <f>SUMIF(MASUK!$C$5:$C$23, RECAP!B24, MASUK!D24:D42)</f>
        <v>0</v>
      </c>
      <c r="E24" s="4">
        <f>SUMIF(KELUAR!$C$6:$C$24, RECAP!$B$5, KELUAR!$D$6:$D$24)</f>
        <v>12</v>
      </c>
      <c r="F24" s="4">
        <f t="shared" si="0"/>
        <v>2020</v>
      </c>
    </row>
    <row r="25" spans="1:6" x14ac:dyDescent="0.25">
      <c r="A25" s="4" t="s">
        <v>28</v>
      </c>
      <c r="B25" s="13" t="s">
        <v>51</v>
      </c>
      <c r="C25" s="4">
        <v>2032</v>
      </c>
      <c r="D25" s="4">
        <f>SUMIF(MASUK!$C$5:$C$23, RECAP!B25, MASUK!D25:D43)</f>
        <v>0</v>
      </c>
      <c r="E25" s="4">
        <f>SUMIF(KELUAR!$C$6:$C$24, RECAP!$B$5, KELUAR!$D$6:$D$24)</f>
        <v>12</v>
      </c>
      <c r="F25" s="4">
        <f t="shared" si="0"/>
        <v>2020</v>
      </c>
    </row>
    <row r="26" spans="1:6" x14ac:dyDescent="0.25">
      <c r="A26" s="4" t="s">
        <v>29</v>
      </c>
      <c r="B26" s="13" t="s">
        <v>52</v>
      </c>
      <c r="C26" s="4">
        <v>2032</v>
      </c>
      <c r="D26" s="4">
        <f>SUMIF(MASUK!$C$5:$C$23, RECAP!B26, MASUK!D26:D44)</f>
        <v>0</v>
      </c>
      <c r="E26" s="4">
        <f>SUMIF(KELUAR!$C$6:$C$24, RECAP!$B$5, KELUAR!$D$6:$D$24)</f>
        <v>12</v>
      </c>
      <c r="F26" s="4">
        <f t="shared" si="0"/>
        <v>2020</v>
      </c>
    </row>
    <row r="27" spans="1:6" x14ac:dyDescent="0.25">
      <c r="A27" s="4" t="s">
        <v>30</v>
      </c>
      <c r="B27" s="13" t="s">
        <v>53</v>
      </c>
      <c r="C27" s="4">
        <v>2032</v>
      </c>
      <c r="D27" s="4">
        <f>SUMIF(MASUK!$C$5:$C$23, RECAP!B27, MASUK!D27:D45)</f>
        <v>0</v>
      </c>
      <c r="E27" s="4">
        <f>SUMIF(KELUAR!$C$6:$C$24, RECAP!$B$5, KELUAR!$D$6:$D$24)</f>
        <v>12</v>
      </c>
      <c r="F27" s="4">
        <f t="shared" si="0"/>
        <v>2020</v>
      </c>
    </row>
    <row r="28" spans="1:6" x14ac:dyDescent="0.25">
      <c r="B28" s="12"/>
    </row>
    <row r="29" spans="1:6" x14ac:dyDescent="0.25">
      <c r="B29" s="12"/>
    </row>
    <row r="30" spans="1:6" x14ac:dyDescent="0.25">
      <c r="B30" s="12"/>
    </row>
    <row r="31" spans="1:6" x14ac:dyDescent="0.25">
      <c r="B31" s="12"/>
    </row>
  </sheetData>
  <mergeCells count="1">
    <mergeCell ref="A1:F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C603-44E1-471A-B283-833FC3CA3A59}">
  <dimension ref="A1:D23"/>
  <sheetViews>
    <sheetView workbookViewId="0">
      <selection activeCell="D5" sqref="D5"/>
    </sheetView>
  </sheetViews>
  <sheetFormatPr defaultRowHeight="15" x14ac:dyDescent="0.25"/>
  <cols>
    <col min="1" max="1" width="14.85546875" customWidth="1"/>
    <col min="2" max="2" width="9.140625" style="16"/>
    <col min="3" max="3" width="39.5703125" customWidth="1"/>
  </cols>
  <sheetData>
    <row r="1" spans="1:4" ht="15" customHeight="1" x14ac:dyDescent="0.25">
      <c r="A1" s="17" t="s">
        <v>54</v>
      </c>
      <c r="B1" s="17"/>
      <c r="C1" s="17"/>
      <c r="D1" s="17"/>
    </row>
    <row r="2" spans="1:4" ht="15" customHeight="1" x14ac:dyDescent="0.25">
      <c r="A2" s="18"/>
      <c r="B2" s="18"/>
      <c r="C2" s="18"/>
      <c r="D2" s="18"/>
    </row>
    <row r="3" spans="1:4" x14ac:dyDescent="0.25">
      <c r="A3" s="2" t="s">
        <v>3</v>
      </c>
      <c r="B3" s="21">
        <v>46023</v>
      </c>
      <c r="C3" s="2"/>
      <c r="D3" s="2"/>
    </row>
    <row r="4" spans="1:4" x14ac:dyDescent="0.25">
      <c r="A4" s="19" t="s">
        <v>55</v>
      </c>
      <c r="B4" s="20" t="s">
        <v>56</v>
      </c>
      <c r="C4" s="19" t="s">
        <v>5</v>
      </c>
      <c r="D4" s="19" t="s">
        <v>6</v>
      </c>
    </row>
    <row r="5" spans="1:4" x14ac:dyDescent="0.25">
      <c r="A5" s="14">
        <v>38737</v>
      </c>
      <c r="B5" s="15" t="s">
        <v>12</v>
      </c>
      <c r="C5" s="3" t="str">
        <f>IFERROR(VLOOKUP(B5,RECAP!$A$4:$F$27,2,0),"")</f>
        <v>Hardisk Eksternal 1TB</v>
      </c>
      <c r="D5" s="3">
        <v>34</v>
      </c>
    </row>
    <row r="6" spans="1:4" x14ac:dyDescent="0.25">
      <c r="A6" s="14">
        <v>38738</v>
      </c>
      <c r="B6" s="15" t="s">
        <v>23</v>
      </c>
      <c r="C6" s="3" t="str">
        <f>IFERROR(VLOOKUP(B6,RECAP!$A$4:$F$27,2,0),"")</f>
        <v>Tas Laptop Waterproof</v>
      </c>
      <c r="D6" s="3">
        <v>34</v>
      </c>
    </row>
    <row r="7" spans="1:4" x14ac:dyDescent="0.25">
      <c r="A7" s="14">
        <v>38739</v>
      </c>
      <c r="B7" s="15" t="s">
        <v>24</v>
      </c>
      <c r="C7" s="3" t="str">
        <f>IFERROR(VLOOKUP(B7,RECAP!$A$4:$F$27,2,0),"")</f>
        <v>Microphone Condenser USB</v>
      </c>
      <c r="D7" s="3">
        <v>44</v>
      </c>
    </row>
    <row r="8" spans="1:4" x14ac:dyDescent="0.25">
      <c r="A8" s="14">
        <v>38740</v>
      </c>
      <c r="B8" s="15" t="s">
        <v>8</v>
      </c>
      <c r="C8" s="3" t="str">
        <f>IFERROR(VLOOKUP(B8,RECAP!$A$4:$F$27,2,0),"")</f>
        <v>Monitor Gaming 27 Inch</v>
      </c>
      <c r="D8" s="3">
        <v>12</v>
      </c>
    </row>
    <row r="9" spans="1:4" x14ac:dyDescent="0.25">
      <c r="A9" s="14">
        <v>38741</v>
      </c>
      <c r="B9" s="15" t="s">
        <v>9</v>
      </c>
      <c r="C9" s="3" t="str">
        <f>IFERROR(VLOOKUP(B9,RECAP!$A$4:$F$27,2,0),"")</f>
        <v>Webcam Full HD 1080p</v>
      </c>
      <c r="D9" s="3">
        <v>43</v>
      </c>
    </row>
    <row r="10" spans="1:4" x14ac:dyDescent="0.25">
      <c r="A10" s="14">
        <v>38742</v>
      </c>
      <c r="B10" s="15" t="s">
        <v>10</v>
      </c>
      <c r="C10" s="3" t="str">
        <f>IFERROR(VLOOKUP(B10,RECAP!$A$4:$F$27,2,0),"")</f>
        <v>Headset Bluetooth Noise Cancelling</v>
      </c>
      <c r="D10" s="3">
        <v>43</v>
      </c>
    </row>
    <row r="11" spans="1:4" x14ac:dyDescent="0.25">
      <c r="A11" s="14">
        <v>38743</v>
      </c>
      <c r="B11" s="15" t="s">
        <v>11</v>
      </c>
      <c r="C11" s="3" t="str">
        <f>IFERROR(VLOOKUP(B11,RECAP!$A$4:$F$27,2,0),"")</f>
        <v>Printer Inkjet Warna</v>
      </c>
      <c r="D11" s="3">
        <v>24</v>
      </c>
    </row>
    <row r="12" spans="1:4" x14ac:dyDescent="0.25">
      <c r="A12" s="14">
        <v>38744</v>
      </c>
      <c r="B12" s="15" t="s">
        <v>12</v>
      </c>
      <c r="C12" s="3" t="str">
        <f>IFERROR(VLOOKUP(B12,RECAP!$A$4:$F$27,2,0),"")</f>
        <v>Hardisk Eksternal 1TB</v>
      </c>
      <c r="D12" s="3">
        <v>53</v>
      </c>
    </row>
    <row r="13" spans="1:4" x14ac:dyDescent="0.25">
      <c r="A13" s="14">
        <v>38745</v>
      </c>
      <c r="B13" s="15" t="s">
        <v>13</v>
      </c>
      <c r="C13" s="3" t="str">
        <f>IFERROR(VLOOKUP(B13,RECAP!$A$4:$F$27,2,0),"")</f>
        <v>Meja Kerja Ergonomis</v>
      </c>
      <c r="D13" s="3">
        <v>55</v>
      </c>
    </row>
    <row r="14" spans="1:4" x14ac:dyDescent="0.25">
      <c r="A14" s="14">
        <v>38746</v>
      </c>
      <c r="B14" s="15" t="s">
        <v>14</v>
      </c>
      <c r="C14" s="3" t="str">
        <f>IFERROR(VLOOKUP(B14,RECAP!$A$4:$F$27,2,0),"")</f>
        <v>Kursi Kantor Hidrolik</v>
      </c>
      <c r="D14" s="3">
        <v>57</v>
      </c>
    </row>
    <row r="15" spans="1:4" x14ac:dyDescent="0.25">
      <c r="A15" s="14">
        <v>38747</v>
      </c>
      <c r="B15" s="15" t="s">
        <v>15</v>
      </c>
      <c r="C15" s="3" t="str">
        <f>IFERROR(VLOOKUP(B15,RECAP!$A$4:$F$27,2,0),"")</f>
        <v>Lampu Meja LED</v>
      </c>
      <c r="D15" s="3">
        <v>59</v>
      </c>
    </row>
    <row r="16" spans="1:4" x14ac:dyDescent="0.25">
      <c r="A16" s="14">
        <v>38748</v>
      </c>
      <c r="B16" s="15" t="s">
        <v>16</v>
      </c>
      <c r="C16" s="3" t="str">
        <f>IFERROR(VLOOKUP(B16,RECAP!$A$4:$F$27,2,0),"")</f>
        <v>Kabel LAN Cat6 10 Meter</v>
      </c>
      <c r="D16" s="3">
        <v>61</v>
      </c>
    </row>
    <row r="17" spans="1:4" x14ac:dyDescent="0.25">
      <c r="A17" s="14">
        <v>38749</v>
      </c>
      <c r="B17" s="15" t="s">
        <v>17</v>
      </c>
      <c r="C17" s="3" t="str">
        <f>IFERROR(VLOOKUP(B17,RECAP!$A$4:$F$27,2,0),"")</f>
        <v>Power Bank 20.000 mAh</v>
      </c>
      <c r="D17" s="3">
        <v>63</v>
      </c>
    </row>
    <row r="18" spans="1:4" x14ac:dyDescent="0.25">
      <c r="A18" s="14">
        <v>38750</v>
      </c>
      <c r="B18" s="15" t="s">
        <v>18</v>
      </c>
      <c r="C18" s="3" t="str">
        <f>IFERROR(VLOOKUP(B18,RECAP!$A$4:$F$27,2,0),"")</f>
        <v>Mouse Pad Anti-Slip</v>
      </c>
      <c r="D18" s="3">
        <v>65</v>
      </c>
    </row>
    <row r="19" spans="1:4" x14ac:dyDescent="0.25">
      <c r="A19" s="14">
        <v>38751</v>
      </c>
      <c r="B19" s="15" t="s">
        <v>19</v>
      </c>
      <c r="C19" s="3" t="str">
        <f>IFERROR(VLOOKUP(B19,RECAP!$A$4:$F$27,2,0),"")</f>
        <v>Speaker Portable Bluetooth</v>
      </c>
      <c r="D19" s="3">
        <v>67</v>
      </c>
    </row>
    <row r="20" spans="1:4" x14ac:dyDescent="0.25">
      <c r="A20" s="14">
        <v>38752</v>
      </c>
      <c r="B20" s="15" t="s">
        <v>20</v>
      </c>
      <c r="C20" s="3" t="str">
        <f>IFERROR(VLOOKUP(B20,RECAP!$A$4:$F$27,2,0),"")</f>
        <v>Router Wi-Fi Dual Band</v>
      </c>
      <c r="D20" s="3">
        <v>69</v>
      </c>
    </row>
    <row r="21" spans="1:4" x14ac:dyDescent="0.25">
      <c r="A21" s="14">
        <v>38753</v>
      </c>
      <c r="B21" s="15" t="s">
        <v>21</v>
      </c>
      <c r="C21" s="3" t="str">
        <f>IFERROR(VLOOKUP(B21,RECAP!$A$4:$F$27,2,0),"")</f>
        <v>Keyboard Wireless Slim</v>
      </c>
      <c r="D21" s="3">
        <v>71</v>
      </c>
    </row>
    <row r="22" spans="1:4" x14ac:dyDescent="0.25">
      <c r="A22" s="14">
        <v>38754</v>
      </c>
      <c r="B22" s="15" t="s">
        <v>22</v>
      </c>
      <c r="C22" s="3" t="str">
        <f>IFERROR(VLOOKUP(B22,RECAP!$A$4:$F$27,2,0),"")</f>
        <v>USB Hub 4 Ports</v>
      </c>
      <c r="D22" s="3">
        <v>73</v>
      </c>
    </row>
    <row r="23" spans="1:4" x14ac:dyDescent="0.25">
      <c r="A23" s="14">
        <v>38755</v>
      </c>
      <c r="B23" s="15" t="s">
        <v>23</v>
      </c>
      <c r="C23" s="3" t="str">
        <f>IFERROR(VLOOKUP(B23,RECAP!$A$4:$F$27,2,0),"")</f>
        <v>Tas Laptop Waterproof</v>
      </c>
      <c r="D23" s="3">
        <v>75</v>
      </c>
    </row>
  </sheetData>
  <mergeCells count="1">
    <mergeCell ref="A1: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0524-C229-4B63-9B4A-FF4F78702C14}">
  <dimension ref="A2:D24"/>
  <sheetViews>
    <sheetView workbookViewId="0">
      <selection activeCell="F8" sqref="F8"/>
    </sheetView>
  </sheetViews>
  <sheetFormatPr defaultRowHeight="15" x14ac:dyDescent="0.25"/>
  <cols>
    <col min="3" max="3" width="38.85546875" customWidth="1"/>
  </cols>
  <sheetData>
    <row r="2" spans="1:4" x14ac:dyDescent="0.25">
      <c r="A2" s="17" t="s">
        <v>57</v>
      </c>
      <c r="B2" s="17"/>
      <c r="C2" s="17"/>
      <c r="D2" s="17"/>
    </row>
    <row r="3" spans="1:4" x14ac:dyDescent="0.25">
      <c r="A3" s="18"/>
      <c r="B3" s="18"/>
      <c r="C3" s="18"/>
      <c r="D3" s="18"/>
    </row>
    <row r="4" spans="1:4" x14ac:dyDescent="0.25">
      <c r="A4" s="2" t="s">
        <v>3</v>
      </c>
      <c r="B4" s="21">
        <v>46023</v>
      </c>
      <c r="C4" s="2"/>
      <c r="D4" s="2"/>
    </row>
    <row r="5" spans="1:4" x14ac:dyDescent="0.25">
      <c r="A5" s="19" t="s">
        <v>55</v>
      </c>
      <c r="B5" s="20" t="s">
        <v>56</v>
      </c>
      <c r="C5" s="19" t="s">
        <v>5</v>
      </c>
      <c r="D5" s="19" t="s">
        <v>58</v>
      </c>
    </row>
    <row r="6" spans="1:4" x14ac:dyDescent="0.25">
      <c r="A6" s="14">
        <v>38737</v>
      </c>
      <c r="B6" s="15" t="s">
        <v>12</v>
      </c>
      <c r="C6" s="3" t="str">
        <f>IFERROR(VLOOKUP(B6,RECAP!$A$4:$F$27,2,0),"")</f>
        <v>Hardisk Eksternal 1TB</v>
      </c>
      <c r="D6" s="3">
        <v>27</v>
      </c>
    </row>
    <row r="7" spans="1:4" x14ac:dyDescent="0.25">
      <c r="A7" s="14">
        <v>38738</v>
      </c>
      <c r="B7" s="15" t="s">
        <v>23</v>
      </c>
      <c r="C7" s="3" t="str">
        <f>IFERROR(VLOOKUP(B7,RECAP!$A$4:$F$27,2,0),"")</f>
        <v>Tas Laptop Waterproof</v>
      </c>
      <c r="D7" s="3">
        <v>17</v>
      </c>
    </row>
    <row r="8" spans="1:4" x14ac:dyDescent="0.25">
      <c r="A8" s="14">
        <v>38739</v>
      </c>
      <c r="B8" s="15" t="s">
        <v>24</v>
      </c>
      <c r="C8" s="3" t="str">
        <f>IFERROR(VLOOKUP(B8,RECAP!$A$4:$F$27,2,0),"")</f>
        <v>Microphone Condenser USB</v>
      </c>
      <c r="D8" s="3">
        <v>44</v>
      </c>
    </row>
    <row r="9" spans="1:4" x14ac:dyDescent="0.25">
      <c r="A9" s="14">
        <v>38740</v>
      </c>
      <c r="B9" s="15" t="s">
        <v>8</v>
      </c>
      <c r="C9" s="3" t="str">
        <f>IFERROR(VLOOKUP(B9,RECAP!$A$4:$F$27,2,0),"")</f>
        <v>Monitor Gaming 27 Inch</v>
      </c>
      <c r="D9" s="3">
        <v>12</v>
      </c>
    </row>
    <row r="10" spans="1:4" x14ac:dyDescent="0.25">
      <c r="A10" s="14">
        <v>38741</v>
      </c>
      <c r="B10" s="15" t="s">
        <v>9</v>
      </c>
      <c r="C10" s="3" t="str">
        <f>IFERROR(VLOOKUP(B10,RECAP!$A$4:$F$27,2,0),"")</f>
        <v>Webcam Full HD 1080p</v>
      </c>
      <c r="D10" s="3">
        <v>23</v>
      </c>
    </row>
    <row r="11" spans="1:4" x14ac:dyDescent="0.25">
      <c r="A11" s="14">
        <v>38742</v>
      </c>
      <c r="B11" s="15" t="s">
        <v>10</v>
      </c>
      <c r="C11" s="3" t="str">
        <f>IFERROR(VLOOKUP(B11,RECAP!$A$4:$F$27,2,0),"")</f>
        <v>Headset Bluetooth Noise Cancelling</v>
      </c>
      <c r="D11" s="3">
        <v>44</v>
      </c>
    </row>
    <row r="12" spans="1:4" x14ac:dyDescent="0.25">
      <c r="A12" s="14">
        <v>38743</v>
      </c>
      <c r="B12" s="15" t="s">
        <v>11</v>
      </c>
      <c r="C12" s="3" t="str">
        <f>IFERROR(VLOOKUP(B12,RECAP!$A$4:$F$27,2,0),"")</f>
        <v>Printer Inkjet Warna</v>
      </c>
      <c r="D12" s="3">
        <v>24</v>
      </c>
    </row>
    <row r="13" spans="1:4" x14ac:dyDescent="0.25">
      <c r="A13" s="14">
        <v>38744</v>
      </c>
      <c r="B13" s="15" t="s">
        <v>12</v>
      </c>
      <c r="C13" s="3" t="str">
        <f>IFERROR(VLOOKUP(B13,RECAP!$A$4:$F$27,2,0),"")</f>
        <v>Hardisk Eksternal 1TB</v>
      </c>
      <c r="D13" s="3">
        <v>45</v>
      </c>
    </row>
    <row r="14" spans="1:4" x14ac:dyDescent="0.25">
      <c r="A14" s="14">
        <v>38745</v>
      </c>
      <c r="B14" s="15" t="s">
        <v>13</v>
      </c>
      <c r="C14" s="3" t="str">
        <f>IFERROR(VLOOKUP(B14,RECAP!$A$4:$F$27,2,0),"")</f>
        <v>Meja Kerja Ergonomis</v>
      </c>
      <c r="D14" s="3">
        <v>55</v>
      </c>
    </row>
    <row r="15" spans="1:4" x14ac:dyDescent="0.25">
      <c r="A15" s="14">
        <v>38746</v>
      </c>
      <c r="B15" s="15" t="s">
        <v>14</v>
      </c>
      <c r="C15" s="3" t="str">
        <f>IFERROR(VLOOKUP(B15,RECAP!$A$4:$F$27,2,0),"")</f>
        <v>Kursi Kantor Hidrolik</v>
      </c>
      <c r="D15" s="3">
        <v>57</v>
      </c>
    </row>
    <row r="16" spans="1:4" x14ac:dyDescent="0.25">
      <c r="A16" s="14">
        <v>38747</v>
      </c>
      <c r="B16" s="15" t="s">
        <v>15</v>
      </c>
      <c r="C16" s="3" t="str">
        <f>IFERROR(VLOOKUP(B16,RECAP!$A$4:$F$27,2,0),"")</f>
        <v>Lampu Meja LED</v>
      </c>
      <c r="D16" s="3">
        <v>44</v>
      </c>
    </row>
    <row r="17" spans="1:4" x14ac:dyDescent="0.25">
      <c r="A17" s="14">
        <v>38748</v>
      </c>
      <c r="B17" s="15" t="s">
        <v>16</v>
      </c>
      <c r="C17" s="3" t="str">
        <f>IFERROR(VLOOKUP(B17,RECAP!$A$4:$F$27,2,0),"")</f>
        <v>Kabel LAN Cat6 10 Meter</v>
      </c>
      <c r="D17" s="3">
        <v>25</v>
      </c>
    </row>
    <row r="18" spans="1:4" x14ac:dyDescent="0.25">
      <c r="A18" s="14">
        <v>38749</v>
      </c>
      <c r="B18" s="15" t="s">
        <v>17</v>
      </c>
      <c r="C18" s="3" t="str">
        <f>IFERROR(VLOOKUP(B18,RECAP!$A$4:$F$27,2,0),"")</f>
        <v>Power Bank 20.000 mAh</v>
      </c>
      <c r="D18" s="3">
        <v>83</v>
      </c>
    </row>
    <row r="19" spans="1:4" x14ac:dyDescent="0.25">
      <c r="A19" s="14">
        <v>38750</v>
      </c>
      <c r="B19" s="15" t="s">
        <v>18</v>
      </c>
      <c r="C19" s="3" t="str">
        <f>IFERROR(VLOOKUP(B19,RECAP!$A$4:$F$27,2,0),"")</f>
        <v>Mouse Pad Anti-Slip</v>
      </c>
      <c r="D19" s="3">
        <v>58</v>
      </c>
    </row>
    <row r="20" spans="1:4" x14ac:dyDescent="0.25">
      <c r="A20" s="14">
        <v>38751</v>
      </c>
      <c r="B20" s="15" t="s">
        <v>19</v>
      </c>
      <c r="C20" s="3" t="str">
        <f>IFERROR(VLOOKUP(B20,RECAP!$A$4:$F$27,2,0),"")</f>
        <v>Speaker Portable Bluetooth</v>
      </c>
      <c r="D20" s="3">
        <v>87</v>
      </c>
    </row>
    <row r="21" spans="1:4" x14ac:dyDescent="0.25">
      <c r="A21" s="14">
        <v>38752</v>
      </c>
      <c r="B21" s="15" t="s">
        <v>20</v>
      </c>
      <c r="C21" s="3" t="str">
        <f>IFERROR(VLOOKUP(B21,RECAP!$A$4:$F$27,2,0),"")</f>
        <v>Router Wi-Fi Dual Band</v>
      </c>
      <c r="D21" s="3">
        <v>22</v>
      </c>
    </row>
    <row r="22" spans="1:4" x14ac:dyDescent="0.25">
      <c r="A22" s="14">
        <v>38753</v>
      </c>
      <c r="B22" s="15" t="s">
        <v>21</v>
      </c>
      <c r="C22" s="3" t="str">
        <f>IFERROR(VLOOKUP(B22,RECAP!$A$4:$F$27,2,0),"")</f>
        <v>Keyboard Wireless Slim</v>
      </c>
      <c r="D22" s="3">
        <v>71</v>
      </c>
    </row>
    <row r="23" spans="1:4" x14ac:dyDescent="0.25">
      <c r="A23" s="14">
        <v>38754</v>
      </c>
      <c r="B23" s="15" t="s">
        <v>22</v>
      </c>
      <c r="C23" s="3" t="str">
        <f>IFERROR(VLOOKUP(B23,RECAP!$A$4:$F$27,2,0),"")</f>
        <v>USB Hub 4 Ports</v>
      </c>
      <c r="D23" s="3">
        <v>22</v>
      </c>
    </row>
    <row r="24" spans="1:4" x14ac:dyDescent="0.25">
      <c r="A24" s="14">
        <v>38755</v>
      </c>
      <c r="B24" s="15" t="s">
        <v>23</v>
      </c>
      <c r="C24" s="3" t="str">
        <f>IFERROR(VLOOKUP(B24,RECAP!$A$4:$F$27,2,0),"")</f>
        <v>Tas Laptop Waterproof</v>
      </c>
      <c r="D24" s="3">
        <v>5</v>
      </c>
    </row>
  </sheetData>
  <mergeCells count="1">
    <mergeCell ref="A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</vt:lpstr>
      <vt:lpstr>MASUK</vt:lpstr>
      <vt:lpstr>KELUAR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2026-04-13T15:11:56Z</dcterms:created>
  <dcterms:modified xsi:type="dcterms:W3CDTF">2026-04-13T17:29:27Z</dcterms:modified>
</cp:coreProperties>
</file>